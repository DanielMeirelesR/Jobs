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F755CDAF-C5FB-4961-B3AD-7ED4B739C3FC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Premissas" sheetId="5" r:id="rId1"/>
    <sheet name="Planejamento" sheetId="1" r:id="rId2"/>
    <sheet name="Apoio Graf" sheetId="8" state="hidden" r:id="rId3"/>
    <sheet name="Produtos" sheetId="3" r:id="rId4"/>
    <sheet name="Intervalos" sheetId="2" state="hidden" r:id="rId5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00" i="8" l="1"/>
  <c r="D200" i="8"/>
  <c r="E200" i="8"/>
  <c r="F200" i="8"/>
  <c r="G200" i="8"/>
  <c r="H200" i="8"/>
  <c r="I200" i="8"/>
  <c r="J200" i="8"/>
  <c r="K200" i="8"/>
  <c r="BJ200" i="8"/>
  <c r="BI200" i="8"/>
  <c r="BH200" i="8"/>
  <c r="BG200" i="8"/>
  <c r="BF200" i="8"/>
  <c r="BE200" i="8"/>
  <c r="BD200" i="8"/>
  <c r="BC200" i="8"/>
  <c r="BB200" i="8"/>
  <c r="BA200" i="8"/>
  <c r="AZ200" i="8"/>
  <c r="AY200" i="8"/>
  <c r="AX200" i="8"/>
  <c r="AW200" i="8"/>
  <c r="AV200" i="8"/>
  <c r="AU200" i="8"/>
  <c r="AT200" i="8"/>
  <c r="AS200" i="8"/>
  <c r="AR200" i="8"/>
  <c r="AO200" i="8"/>
  <c r="AQ200" i="8"/>
  <c r="AP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Z200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C138" i="8" l="1"/>
  <c r="AE13" i="1" l="1"/>
  <c r="AD13" i="1"/>
  <c r="W85" i="1"/>
  <c r="AI10" i="1"/>
  <c r="AH10" i="1"/>
  <c r="AI13" i="1"/>
  <c r="AH13" i="1"/>
  <c r="AE10" i="1"/>
  <c r="AD10" i="1"/>
  <c r="Q39" i="1" l="1"/>
  <c r="C101" i="8" l="1"/>
  <c r="C105" i="8"/>
  <c r="B106" i="8"/>
  <c r="B107" i="8"/>
  <c r="B108" i="8"/>
  <c r="B109" i="8"/>
  <c r="C33" i="8" l="1"/>
  <c r="B82" i="8"/>
  <c r="B83" i="8"/>
  <c r="B84" i="8"/>
  <c r="B85" i="8"/>
  <c r="B86" i="8"/>
  <c r="B87" i="8"/>
  <c r="B88" i="8"/>
  <c r="B89" i="8"/>
  <c r="B90" i="8"/>
  <c r="B91" i="8"/>
  <c r="B92" i="8"/>
  <c r="B93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34" i="8"/>
  <c r="B14" i="8" l="1"/>
  <c r="E14" i="8" s="1"/>
  <c r="E13" i="8"/>
  <c r="D13" i="8" s="1"/>
  <c r="D14" i="8" l="1"/>
  <c r="C14" i="8"/>
  <c r="B15" i="8"/>
  <c r="C13" i="8"/>
  <c r="E15" i="8" l="1"/>
  <c r="B16" i="8"/>
  <c r="E16" i="8" l="1"/>
  <c r="B17" i="8"/>
  <c r="D15" i="8"/>
  <c r="C15" i="8"/>
  <c r="E17" i="8" l="1"/>
  <c r="B18" i="8"/>
  <c r="D16" i="8"/>
  <c r="C16" i="8"/>
  <c r="E18" i="8" l="1"/>
  <c r="B19" i="8"/>
  <c r="D17" i="8"/>
  <c r="C17" i="8"/>
  <c r="E19" i="8" l="1"/>
  <c r="B20" i="8"/>
  <c r="D18" i="8"/>
  <c r="C18" i="8"/>
  <c r="E20" i="8" l="1"/>
  <c r="B21" i="8"/>
  <c r="D19" i="8"/>
  <c r="C19" i="8"/>
  <c r="E21" i="8" l="1"/>
  <c r="B22" i="8"/>
  <c r="D20" i="8"/>
  <c r="C20" i="8"/>
  <c r="E22" i="8" l="1"/>
  <c r="B23" i="8"/>
  <c r="E23" i="8" s="1"/>
  <c r="D21" i="8"/>
  <c r="C21" i="8"/>
  <c r="D23" i="8" l="1"/>
  <c r="C23" i="8"/>
  <c r="D22" i="8"/>
  <c r="C22" i="8"/>
  <c r="P69" i="3"/>
  <c r="G69" i="3" s="1"/>
  <c r="P68" i="3"/>
  <c r="G68" i="3" s="1"/>
  <c r="P67" i="3"/>
  <c r="G67" i="3" s="1"/>
  <c r="P66" i="3"/>
  <c r="G66" i="3" s="1"/>
  <c r="P65" i="3"/>
  <c r="G65" i="3" s="1"/>
  <c r="P64" i="3"/>
  <c r="G64" i="3" s="1"/>
  <c r="P63" i="3"/>
  <c r="G63" i="3" s="1"/>
  <c r="P62" i="3"/>
  <c r="G62" i="3" s="1"/>
  <c r="P61" i="3"/>
  <c r="G61" i="3" s="1"/>
  <c r="P60" i="3"/>
  <c r="G60" i="3" s="1"/>
  <c r="P59" i="3"/>
  <c r="G59" i="3" s="1"/>
  <c r="P58" i="3"/>
  <c r="G58" i="3" s="1"/>
  <c r="P57" i="3"/>
  <c r="G57" i="3" s="1"/>
  <c r="P56" i="3"/>
  <c r="G56" i="3" s="1"/>
  <c r="P55" i="3"/>
  <c r="G55" i="3" s="1"/>
  <c r="P54" i="3"/>
  <c r="G54" i="3" s="1"/>
  <c r="P53" i="3"/>
  <c r="G53" i="3" s="1"/>
  <c r="P52" i="3"/>
  <c r="G52" i="3" s="1"/>
  <c r="P51" i="3"/>
  <c r="G51" i="3" s="1"/>
  <c r="P50" i="3"/>
  <c r="G50" i="3" s="1"/>
  <c r="P49" i="3"/>
  <c r="G49" i="3" s="1"/>
  <c r="P48" i="3"/>
  <c r="G48" i="3" s="1"/>
  <c r="P47" i="3"/>
  <c r="G47" i="3" s="1"/>
  <c r="P46" i="3"/>
  <c r="G46" i="3" s="1"/>
  <c r="P45" i="3"/>
  <c r="G45" i="3" s="1"/>
  <c r="P44" i="3"/>
  <c r="G44" i="3" s="1"/>
  <c r="P43" i="3"/>
  <c r="G43" i="3" s="1"/>
  <c r="P42" i="3"/>
  <c r="G42" i="3" s="1"/>
  <c r="P41" i="3"/>
  <c r="G41" i="3" s="1"/>
  <c r="P40" i="3"/>
  <c r="G40" i="3" s="1"/>
  <c r="P39" i="3"/>
  <c r="G39" i="3" s="1"/>
  <c r="P38" i="3"/>
  <c r="G38" i="3" s="1"/>
  <c r="P37" i="3"/>
  <c r="G37" i="3" s="1"/>
  <c r="P36" i="3"/>
  <c r="G36" i="3" s="1"/>
  <c r="P35" i="3"/>
  <c r="G35" i="3" s="1"/>
  <c r="P34" i="3"/>
  <c r="G34" i="3" s="1"/>
  <c r="P33" i="3"/>
  <c r="G33" i="3" s="1"/>
  <c r="P32" i="3"/>
  <c r="G32" i="3" s="1"/>
  <c r="P31" i="3"/>
  <c r="G31" i="3" s="1"/>
  <c r="P30" i="3"/>
  <c r="G30" i="3" s="1"/>
  <c r="P29" i="3"/>
  <c r="G29" i="3" s="1"/>
  <c r="P28" i="3"/>
  <c r="G28" i="3" s="1"/>
  <c r="P27" i="3"/>
  <c r="G27" i="3" s="1"/>
  <c r="P26" i="3"/>
  <c r="G26" i="3" s="1"/>
  <c r="P25" i="3"/>
  <c r="G25" i="3" s="1"/>
  <c r="P24" i="3"/>
  <c r="G24" i="3" s="1"/>
  <c r="P23" i="3"/>
  <c r="G23" i="3" s="1"/>
  <c r="P22" i="3"/>
  <c r="G22" i="3" s="1"/>
  <c r="P21" i="3"/>
  <c r="G21" i="3" s="1"/>
  <c r="P20" i="3"/>
  <c r="G20" i="3" s="1"/>
  <c r="P19" i="3"/>
  <c r="G19" i="3" s="1"/>
  <c r="P18" i="3"/>
  <c r="G18" i="3" s="1"/>
  <c r="P17" i="3"/>
  <c r="G17" i="3" s="1"/>
  <c r="P16" i="3"/>
  <c r="G16" i="3" s="1"/>
  <c r="P15" i="3"/>
  <c r="G15" i="3" s="1"/>
  <c r="P14" i="3"/>
  <c r="G14" i="3" s="1"/>
  <c r="P13" i="3"/>
  <c r="G13" i="3" s="1"/>
  <c r="P12" i="3"/>
  <c r="G12" i="3" s="1"/>
  <c r="P11" i="3"/>
  <c r="G11" i="3" s="1"/>
  <c r="P10" i="3"/>
  <c r="G10" i="3" s="1"/>
  <c r="P9" i="3"/>
  <c r="G9" i="3" s="1"/>
  <c r="P8" i="3"/>
  <c r="G8" i="3" s="1"/>
  <c r="E57" i="3"/>
  <c r="G91" i="1" s="1"/>
  <c r="B5" i="3"/>
  <c r="G5" i="3" s="1"/>
  <c r="E5" i="3" l="1"/>
  <c r="E7" i="3"/>
  <c r="E6" i="3"/>
  <c r="D23" i="1"/>
  <c r="H36" i="1" l="1"/>
  <c r="Q36" i="1" l="1"/>
  <c r="Q37" i="1"/>
  <c r="Q38" i="1"/>
  <c r="S36" i="1"/>
  <c r="S37" i="1"/>
  <c r="S38" i="1"/>
  <c r="S39" i="1"/>
  <c r="S40" i="1"/>
  <c r="Q41" i="1"/>
  <c r="S41" i="1"/>
  <c r="Q42" i="1"/>
  <c r="S42" i="1"/>
  <c r="Q43" i="1"/>
  <c r="S43" i="1"/>
  <c r="Q44" i="1"/>
  <c r="S44" i="1"/>
  <c r="Q45" i="1"/>
  <c r="S45" i="1"/>
  <c r="Q46" i="1"/>
  <c r="S46" i="1"/>
  <c r="Q47" i="1"/>
  <c r="S47" i="1"/>
  <c r="Q48" i="1"/>
  <c r="S48" i="1"/>
  <c r="Q49" i="1"/>
  <c r="S49" i="1"/>
  <c r="Q50" i="1"/>
  <c r="S50" i="1"/>
  <c r="Q51" i="1"/>
  <c r="S51" i="1"/>
  <c r="Q52" i="1"/>
  <c r="S52" i="1"/>
  <c r="Q53" i="1"/>
  <c r="S53" i="1"/>
  <c r="Q54" i="1"/>
  <c r="S54" i="1"/>
  <c r="Q55" i="1"/>
  <c r="S55" i="1"/>
  <c r="Q56" i="1"/>
  <c r="S56" i="1"/>
  <c r="Q57" i="1"/>
  <c r="S57" i="1"/>
  <c r="Q58" i="1"/>
  <c r="S58" i="1"/>
  <c r="Q59" i="1"/>
  <c r="S59" i="1"/>
  <c r="Q60" i="1"/>
  <c r="S60" i="1"/>
  <c r="Q61" i="1"/>
  <c r="S61" i="1"/>
  <c r="Q62" i="1"/>
  <c r="S62" i="1"/>
  <c r="Q63" i="1"/>
  <c r="S63" i="1"/>
  <c r="Q64" i="1"/>
  <c r="S64" i="1"/>
  <c r="Q65" i="1"/>
  <c r="S65" i="1"/>
  <c r="Q66" i="1"/>
  <c r="S66" i="1"/>
  <c r="Q67" i="1"/>
  <c r="S67" i="1"/>
  <c r="Q68" i="1"/>
  <c r="S68" i="1"/>
  <c r="Q69" i="1"/>
  <c r="S69" i="1"/>
  <c r="Q70" i="1"/>
  <c r="S70" i="1"/>
  <c r="Q71" i="1"/>
  <c r="S71" i="1"/>
  <c r="Q72" i="1"/>
  <c r="S72" i="1"/>
  <c r="Q73" i="1"/>
  <c r="S73" i="1"/>
  <c r="Q74" i="1"/>
  <c r="S74" i="1"/>
  <c r="Q75" i="1"/>
  <c r="S75" i="1"/>
  <c r="Q76" i="1"/>
  <c r="S76" i="1"/>
  <c r="Q77" i="1"/>
  <c r="S77" i="1"/>
  <c r="Q78" i="1"/>
  <c r="S78" i="1"/>
  <c r="Q79" i="1"/>
  <c r="S79" i="1"/>
  <c r="Q80" i="1"/>
  <c r="S80" i="1"/>
  <c r="Q81" i="1"/>
  <c r="S81" i="1"/>
  <c r="Q82" i="1"/>
  <c r="S82" i="1"/>
  <c r="Q83" i="1"/>
  <c r="S83" i="1"/>
  <c r="Q84" i="1"/>
  <c r="S84" i="1"/>
  <c r="Q85" i="1"/>
  <c r="S85" i="1"/>
  <c r="Q86" i="1"/>
  <c r="S86" i="1"/>
  <c r="Q87" i="1"/>
  <c r="S87" i="1"/>
  <c r="Q88" i="1"/>
  <c r="S88" i="1"/>
  <c r="Q89" i="1"/>
  <c r="S89" i="1"/>
  <c r="Q90" i="1"/>
  <c r="S90" i="1"/>
  <c r="Q91" i="1"/>
  <c r="S91" i="1"/>
  <c r="Q92" i="1"/>
  <c r="S92" i="1"/>
  <c r="Q93" i="1"/>
  <c r="S93" i="1"/>
  <c r="Q94" i="1"/>
  <c r="S94" i="1"/>
  <c r="Q95" i="1"/>
  <c r="S95" i="1"/>
  <c r="V36" i="1"/>
  <c r="V37" i="1"/>
  <c r="V38" i="1"/>
  <c r="V39" i="1"/>
  <c r="W36" i="1"/>
  <c r="X36" i="1"/>
  <c r="Y36" i="1" s="1"/>
  <c r="W37" i="1"/>
  <c r="X37" i="1"/>
  <c r="Y37" i="1" s="1"/>
  <c r="W38" i="1"/>
  <c r="X38" i="1"/>
  <c r="Y38" i="1" s="1"/>
  <c r="W39" i="1"/>
  <c r="X39" i="1"/>
  <c r="Y39" i="1" s="1"/>
  <c r="V40" i="1"/>
  <c r="W40" i="1"/>
  <c r="X40" i="1"/>
  <c r="Y40" i="1" s="1"/>
  <c r="V41" i="1"/>
  <c r="W41" i="1"/>
  <c r="X41" i="1"/>
  <c r="Y41" i="1" s="1"/>
  <c r="V42" i="1"/>
  <c r="W42" i="1"/>
  <c r="X42" i="1"/>
  <c r="Y42" i="1" s="1"/>
  <c r="V43" i="1"/>
  <c r="W43" i="1"/>
  <c r="X43" i="1"/>
  <c r="Y43" i="1" s="1"/>
  <c r="V44" i="1"/>
  <c r="W44" i="1"/>
  <c r="X44" i="1"/>
  <c r="Y44" i="1" s="1"/>
  <c r="V45" i="1"/>
  <c r="W45" i="1"/>
  <c r="X45" i="1"/>
  <c r="Y45" i="1" s="1"/>
  <c r="V46" i="1"/>
  <c r="W46" i="1"/>
  <c r="X46" i="1"/>
  <c r="Y46" i="1" s="1"/>
  <c r="V47" i="1"/>
  <c r="W47" i="1"/>
  <c r="X47" i="1"/>
  <c r="Y47" i="1" s="1"/>
  <c r="V48" i="1"/>
  <c r="W48" i="1"/>
  <c r="X48" i="1"/>
  <c r="Y48" i="1" s="1"/>
  <c r="V49" i="1"/>
  <c r="W49" i="1"/>
  <c r="X49" i="1"/>
  <c r="Y49" i="1" s="1"/>
  <c r="V50" i="1"/>
  <c r="W50" i="1"/>
  <c r="X50" i="1"/>
  <c r="Y50" i="1" s="1"/>
  <c r="V51" i="1"/>
  <c r="W51" i="1"/>
  <c r="X51" i="1"/>
  <c r="Y51" i="1" s="1"/>
  <c r="V52" i="1"/>
  <c r="W52" i="1"/>
  <c r="X52" i="1"/>
  <c r="Y52" i="1" s="1"/>
  <c r="V53" i="1"/>
  <c r="W53" i="1"/>
  <c r="X53" i="1"/>
  <c r="Y53" i="1" s="1"/>
  <c r="V54" i="1"/>
  <c r="W54" i="1"/>
  <c r="X54" i="1"/>
  <c r="Y54" i="1" s="1"/>
  <c r="V55" i="1"/>
  <c r="W55" i="1"/>
  <c r="X55" i="1"/>
  <c r="Y55" i="1" s="1"/>
  <c r="V56" i="1"/>
  <c r="W56" i="1"/>
  <c r="X56" i="1"/>
  <c r="Y56" i="1" s="1"/>
  <c r="V57" i="1"/>
  <c r="W57" i="1"/>
  <c r="X57" i="1"/>
  <c r="Y57" i="1" s="1"/>
  <c r="V58" i="1"/>
  <c r="W58" i="1"/>
  <c r="X58" i="1"/>
  <c r="Y58" i="1" s="1"/>
  <c r="V59" i="1"/>
  <c r="W59" i="1"/>
  <c r="X59" i="1"/>
  <c r="Y59" i="1" s="1"/>
  <c r="V60" i="1"/>
  <c r="W60" i="1"/>
  <c r="X60" i="1"/>
  <c r="Y60" i="1" s="1"/>
  <c r="V61" i="1"/>
  <c r="W61" i="1"/>
  <c r="X61" i="1"/>
  <c r="Y61" i="1" s="1"/>
  <c r="V62" i="1"/>
  <c r="W62" i="1"/>
  <c r="X62" i="1"/>
  <c r="Y62" i="1" s="1"/>
  <c r="V63" i="1"/>
  <c r="W63" i="1"/>
  <c r="X63" i="1"/>
  <c r="Y63" i="1" s="1"/>
  <c r="V64" i="1"/>
  <c r="W64" i="1"/>
  <c r="X64" i="1"/>
  <c r="Y64" i="1" s="1"/>
  <c r="V65" i="1"/>
  <c r="W65" i="1"/>
  <c r="X65" i="1"/>
  <c r="Y65" i="1" s="1"/>
  <c r="V66" i="1"/>
  <c r="W66" i="1"/>
  <c r="X66" i="1"/>
  <c r="Y66" i="1" s="1"/>
  <c r="W67" i="1"/>
  <c r="X67" i="1"/>
  <c r="Y67" i="1" s="1"/>
  <c r="V68" i="1"/>
  <c r="W68" i="1"/>
  <c r="X68" i="1"/>
  <c r="Y68" i="1" s="1"/>
  <c r="W69" i="1"/>
  <c r="X69" i="1"/>
  <c r="Y69" i="1" s="1"/>
  <c r="V70" i="1"/>
  <c r="W70" i="1"/>
  <c r="X70" i="1"/>
  <c r="Y70" i="1" s="1"/>
  <c r="V71" i="1"/>
  <c r="W71" i="1"/>
  <c r="X71" i="1"/>
  <c r="Y71" i="1" s="1"/>
  <c r="V72" i="1"/>
  <c r="W72" i="1"/>
  <c r="X72" i="1"/>
  <c r="Y72" i="1" s="1"/>
  <c r="V73" i="1"/>
  <c r="W73" i="1"/>
  <c r="X73" i="1"/>
  <c r="Y73" i="1" s="1"/>
  <c r="V74" i="1"/>
  <c r="W74" i="1"/>
  <c r="X74" i="1"/>
  <c r="Y74" i="1" s="1"/>
  <c r="V75" i="1"/>
  <c r="W75" i="1"/>
  <c r="X75" i="1"/>
  <c r="Y75" i="1" s="1"/>
  <c r="V76" i="1"/>
  <c r="W76" i="1"/>
  <c r="X76" i="1"/>
  <c r="Y76" i="1" s="1"/>
  <c r="V77" i="1"/>
  <c r="W77" i="1"/>
  <c r="X77" i="1"/>
  <c r="Y77" i="1" s="1"/>
  <c r="V78" i="1"/>
  <c r="W78" i="1"/>
  <c r="X78" i="1"/>
  <c r="Y78" i="1" s="1"/>
  <c r="V79" i="1"/>
  <c r="W79" i="1"/>
  <c r="X79" i="1"/>
  <c r="Y79" i="1" s="1"/>
  <c r="V80" i="1"/>
  <c r="W80" i="1"/>
  <c r="X80" i="1"/>
  <c r="Y80" i="1" s="1"/>
  <c r="V81" i="1"/>
  <c r="W81" i="1"/>
  <c r="X81" i="1"/>
  <c r="Y81" i="1" s="1"/>
  <c r="V82" i="1"/>
  <c r="W82" i="1"/>
  <c r="X82" i="1"/>
  <c r="Y82" i="1" s="1"/>
  <c r="V83" i="1"/>
  <c r="W83" i="1"/>
  <c r="X83" i="1"/>
  <c r="Y83" i="1" s="1"/>
  <c r="V84" i="1"/>
  <c r="W84" i="1"/>
  <c r="X84" i="1"/>
  <c r="Y84" i="1" s="1"/>
  <c r="V85" i="1"/>
  <c r="X85" i="1"/>
  <c r="Y85" i="1" s="1"/>
  <c r="V86" i="1"/>
  <c r="W86" i="1"/>
  <c r="X86" i="1"/>
  <c r="Y86" i="1" s="1"/>
  <c r="V87" i="1"/>
  <c r="W87" i="1"/>
  <c r="X87" i="1"/>
  <c r="Y87" i="1" s="1"/>
  <c r="V88" i="1"/>
  <c r="W88" i="1"/>
  <c r="X88" i="1"/>
  <c r="Y88" i="1" s="1"/>
  <c r="V89" i="1"/>
  <c r="W89" i="1"/>
  <c r="X89" i="1"/>
  <c r="Y89" i="1" s="1"/>
  <c r="V90" i="1"/>
  <c r="W90" i="1"/>
  <c r="X90" i="1"/>
  <c r="Y90" i="1" s="1"/>
  <c r="V91" i="1"/>
  <c r="W91" i="1"/>
  <c r="X91" i="1"/>
  <c r="Y91" i="1" s="1"/>
  <c r="V92" i="1"/>
  <c r="W92" i="1"/>
  <c r="X92" i="1"/>
  <c r="Y92" i="1" s="1"/>
  <c r="V93" i="1"/>
  <c r="W93" i="1"/>
  <c r="X93" i="1"/>
  <c r="Y93" i="1" s="1"/>
  <c r="V94" i="1"/>
  <c r="W94" i="1"/>
  <c r="X94" i="1"/>
  <c r="Y94" i="1" s="1"/>
  <c r="V95" i="1"/>
  <c r="W95" i="1"/>
  <c r="X95" i="1"/>
  <c r="Y95" i="1" s="1"/>
  <c r="B37" i="1"/>
  <c r="A37" i="1" s="1"/>
  <c r="E9" i="3"/>
  <c r="G43" i="1" s="1"/>
  <c r="E10" i="3"/>
  <c r="G44" i="1" s="1"/>
  <c r="E11" i="3"/>
  <c r="G45" i="1" s="1"/>
  <c r="E12" i="3"/>
  <c r="G46" i="1" s="1"/>
  <c r="E13" i="3"/>
  <c r="G47" i="1" s="1"/>
  <c r="E14" i="3"/>
  <c r="G48" i="1" s="1"/>
  <c r="E15" i="3"/>
  <c r="G49" i="1" s="1"/>
  <c r="E16" i="3"/>
  <c r="G50" i="1" s="1"/>
  <c r="E17" i="3"/>
  <c r="G51" i="1" s="1"/>
  <c r="E18" i="3"/>
  <c r="G52" i="1" s="1"/>
  <c r="E19" i="3"/>
  <c r="G53" i="1" s="1"/>
  <c r="E20" i="3"/>
  <c r="G54" i="1" s="1"/>
  <c r="E21" i="3"/>
  <c r="G55" i="1" s="1"/>
  <c r="E22" i="3"/>
  <c r="G56" i="1" s="1"/>
  <c r="E23" i="3"/>
  <c r="G57" i="1" s="1"/>
  <c r="E24" i="3"/>
  <c r="G58" i="1" s="1"/>
  <c r="E25" i="3"/>
  <c r="G59" i="1" s="1"/>
  <c r="E26" i="3"/>
  <c r="G60" i="1" s="1"/>
  <c r="E27" i="3"/>
  <c r="G61" i="1" s="1"/>
  <c r="E28" i="3"/>
  <c r="G62" i="1" s="1"/>
  <c r="E29" i="3"/>
  <c r="G63" i="1" s="1"/>
  <c r="E30" i="3"/>
  <c r="G64" i="1" s="1"/>
  <c r="E31" i="3"/>
  <c r="G65" i="1" s="1"/>
  <c r="E32" i="3"/>
  <c r="G66" i="1" s="1"/>
  <c r="E33" i="3"/>
  <c r="G67" i="1" s="1"/>
  <c r="E34" i="3"/>
  <c r="G68" i="1" s="1"/>
  <c r="E35" i="3"/>
  <c r="G69" i="1" s="1"/>
  <c r="E36" i="3"/>
  <c r="G70" i="1" s="1"/>
  <c r="E37" i="3"/>
  <c r="G71" i="1" s="1"/>
  <c r="E38" i="3"/>
  <c r="G72" i="1" s="1"/>
  <c r="E39" i="3"/>
  <c r="G73" i="1" s="1"/>
  <c r="E40" i="3"/>
  <c r="G74" i="1" s="1"/>
  <c r="E41" i="3"/>
  <c r="G75" i="1" s="1"/>
  <c r="E42" i="3"/>
  <c r="G76" i="1" s="1"/>
  <c r="E43" i="3"/>
  <c r="G77" i="1" s="1"/>
  <c r="E44" i="3"/>
  <c r="G78" i="1" s="1"/>
  <c r="E45" i="3"/>
  <c r="G79" i="1" s="1"/>
  <c r="E46" i="3"/>
  <c r="G80" i="1" s="1"/>
  <c r="E47" i="3"/>
  <c r="G81" i="1" s="1"/>
  <c r="E48" i="3"/>
  <c r="G82" i="1" s="1"/>
  <c r="E49" i="3"/>
  <c r="G83" i="1" s="1"/>
  <c r="E50" i="3"/>
  <c r="G84" i="1" s="1"/>
  <c r="E51" i="3"/>
  <c r="G85" i="1" s="1"/>
  <c r="E52" i="3"/>
  <c r="G86" i="1" s="1"/>
  <c r="E53" i="3"/>
  <c r="G87" i="1" s="1"/>
  <c r="E54" i="3"/>
  <c r="G88" i="1" s="1"/>
  <c r="E55" i="3"/>
  <c r="G89" i="1" s="1"/>
  <c r="E56" i="3"/>
  <c r="G90" i="1" s="1"/>
  <c r="E58" i="3"/>
  <c r="G92" i="1" s="1"/>
  <c r="E59" i="3"/>
  <c r="G93" i="1" s="1"/>
  <c r="E60" i="3"/>
  <c r="G94" i="1" s="1"/>
  <c r="E61" i="3"/>
  <c r="G95" i="1" s="1"/>
  <c r="E62" i="3"/>
  <c r="E63" i="3"/>
  <c r="E64" i="3"/>
  <c r="E65" i="3"/>
  <c r="E66" i="3"/>
  <c r="E67" i="3"/>
  <c r="E68" i="3"/>
  <c r="E69" i="3"/>
  <c r="E8" i="3"/>
  <c r="G42" i="1" s="1"/>
  <c r="D16" i="1"/>
  <c r="N36" i="1" s="1"/>
  <c r="W35" i="1"/>
  <c r="A36" i="1"/>
  <c r="D11" i="1" l="1"/>
  <c r="AD9" i="1" s="1"/>
  <c r="D10" i="1"/>
  <c r="AD8" i="1" s="1"/>
  <c r="C202" i="8" s="1"/>
  <c r="D202" i="8" s="1"/>
  <c r="E202" i="8" s="1"/>
  <c r="F202" i="8" s="1"/>
  <c r="G202" i="8" s="1"/>
  <c r="H202" i="8" s="1"/>
  <c r="I202" i="8" s="1"/>
  <c r="J202" i="8" s="1"/>
  <c r="K202" i="8" s="1"/>
  <c r="L202" i="8" s="1"/>
  <c r="M202" i="8" s="1"/>
  <c r="N202" i="8" s="1"/>
  <c r="O202" i="8" s="1"/>
  <c r="P202" i="8" s="1"/>
  <c r="Q202" i="8" s="1"/>
  <c r="R202" i="8" s="1"/>
  <c r="S202" i="8" s="1"/>
  <c r="T202" i="8" s="1"/>
  <c r="U202" i="8" s="1"/>
  <c r="V202" i="8" s="1"/>
  <c r="W202" i="8" s="1"/>
  <c r="X202" i="8" s="1"/>
  <c r="Y202" i="8" s="1"/>
  <c r="Z202" i="8" s="1"/>
  <c r="AA202" i="8" s="1"/>
  <c r="AB202" i="8" s="1"/>
  <c r="AC202" i="8" s="1"/>
  <c r="AD202" i="8" s="1"/>
  <c r="AE202" i="8" s="1"/>
  <c r="AF202" i="8" s="1"/>
  <c r="AG202" i="8" s="1"/>
  <c r="AH202" i="8" s="1"/>
  <c r="AI202" i="8" s="1"/>
  <c r="AJ202" i="8" s="1"/>
  <c r="AK202" i="8" s="1"/>
  <c r="AL202" i="8" s="1"/>
  <c r="AM202" i="8" s="1"/>
  <c r="AN202" i="8" s="1"/>
  <c r="AO202" i="8" s="1"/>
  <c r="AP202" i="8" s="1"/>
  <c r="AQ202" i="8" s="1"/>
  <c r="AR202" i="8" s="1"/>
  <c r="AS202" i="8" s="1"/>
  <c r="AT202" i="8" s="1"/>
  <c r="AU202" i="8" s="1"/>
  <c r="AV202" i="8" s="1"/>
  <c r="AW202" i="8" s="1"/>
  <c r="AX202" i="8" s="1"/>
  <c r="AY202" i="8" s="1"/>
  <c r="AZ202" i="8" s="1"/>
  <c r="BA202" i="8" s="1"/>
  <c r="BB202" i="8" s="1"/>
  <c r="BC202" i="8" s="1"/>
  <c r="BD202" i="8" s="1"/>
  <c r="BE202" i="8" s="1"/>
  <c r="BF202" i="8" s="1"/>
  <c r="BG202" i="8" s="1"/>
  <c r="BH202" i="8" s="1"/>
  <c r="BI202" i="8" s="1"/>
  <c r="BJ202" i="8" s="1"/>
  <c r="W31" i="1"/>
  <c r="B38" i="1"/>
  <c r="AH24" i="1" l="1"/>
  <c r="C201" i="8" s="1"/>
  <c r="D201" i="8" s="1"/>
  <c r="E201" i="8" s="1"/>
  <c r="F201" i="8" s="1"/>
  <c r="G201" i="8" s="1"/>
  <c r="H201" i="8" s="1"/>
  <c r="I201" i="8" s="1"/>
  <c r="J201" i="8" s="1"/>
  <c r="K201" i="8" s="1"/>
  <c r="L201" i="8" s="1"/>
  <c r="AH23" i="1"/>
  <c r="P35" i="1"/>
  <c r="R36" i="1" s="1"/>
  <c r="AE8" i="1"/>
  <c r="AI8" i="1" s="1"/>
  <c r="AE9" i="1"/>
  <c r="D12" i="1"/>
  <c r="B39" i="1"/>
  <c r="A38" i="1"/>
  <c r="M201" i="8" l="1"/>
  <c r="L207" i="8"/>
  <c r="C141" i="8"/>
  <c r="C203" i="8"/>
  <c r="AI24" i="1"/>
  <c r="C140" i="8"/>
  <c r="R67" i="1"/>
  <c r="T67" i="1" s="1"/>
  <c r="R50" i="1"/>
  <c r="T50" i="1" s="1"/>
  <c r="R82" i="1"/>
  <c r="T82" i="1" s="1"/>
  <c r="R66" i="1"/>
  <c r="T66" i="1" s="1"/>
  <c r="R43" i="1"/>
  <c r="T43" i="1" s="1"/>
  <c r="R38" i="1"/>
  <c r="T38" i="1" s="1"/>
  <c r="R54" i="1"/>
  <c r="T54" i="1" s="1"/>
  <c r="R70" i="1"/>
  <c r="T70" i="1" s="1"/>
  <c r="R86" i="1"/>
  <c r="T86" i="1" s="1"/>
  <c r="R51" i="1"/>
  <c r="T51" i="1" s="1"/>
  <c r="R42" i="1"/>
  <c r="T42" i="1" s="1"/>
  <c r="R58" i="1"/>
  <c r="T58" i="1" s="1"/>
  <c r="R74" i="1"/>
  <c r="T74" i="1" s="1"/>
  <c r="R90" i="1"/>
  <c r="T90" i="1" s="1"/>
  <c r="R55" i="1"/>
  <c r="T55" i="1" s="1"/>
  <c r="R46" i="1"/>
  <c r="T46" i="1" s="1"/>
  <c r="R62" i="1"/>
  <c r="T62" i="1" s="1"/>
  <c r="R78" i="1"/>
  <c r="T78" i="1" s="1"/>
  <c r="R94" i="1"/>
  <c r="T94" i="1" s="1"/>
  <c r="R59" i="1"/>
  <c r="T59" i="1" s="1"/>
  <c r="R75" i="1"/>
  <c r="T75" i="1" s="1"/>
  <c r="R87" i="1"/>
  <c r="T87" i="1" s="1"/>
  <c r="D3" i="1"/>
  <c r="R44" i="1"/>
  <c r="T44" i="1" s="1"/>
  <c r="R52" i="1"/>
  <c r="T52" i="1" s="1"/>
  <c r="R60" i="1"/>
  <c r="T60" i="1" s="1"/>
  <c r="R68" i="1"/>
  <c r="T68" i="1" s="1"/>
  <c r="R76" i="1"/>
  <c r="T76" i="1" s="1"/>
  <c r="R84" i="1"/>
  <c r="T84" i="1" s="1"/>
  <c r="R92" i="1"/>
  <c r="T92" i="1" s="1"/>
  <c r="R45" i="1"/>
  <c r="T45" i="1" s="1"/>
  <c r="R53" i="1"/>
  <c r="T53" i="1" s="1"/>
  <c r="R61" i="1"/>
  <c r="T61" i="1" s="1"/>
  <c r="R69" i="1"/>
  <c r="T69" i="1" s="1"/>
  <c r="R77" i="1"/>
  <c r="T77" i="1" s="1"/>
  <c r="R89" i="1"/>
  <c r="T89" i="1" s="1"/>
  <c r="R93" i="1"/>
  <c r="T93" i="1" s="1"/>
  <c r="R47" i="1"/>
  <c r="T47" i="1" s="1"/>
  <c r="R63" i="1"/>
  <c r="T63" i="1" s="1"/>
  <c r="R71" i="1"/>
  <c r="T71" i="1" s="1"/>
  <c r="R79" i="1"/>
  <c r="T79" i="1" s="1"/>
  <c r="R40" i="1"/>
  <c r="T40" i="1" s="1"/>
  <c r="R48" i="1"/>
  <c r="T48" i="1" s="1"/>
  <c r="R56" i="1"/>
  <c r="T56" i="1" s="1"/>
  <c r="R64" i="1"/>
  <c r="T64" i="1" s="1"/>
  <c r="R72" i="1"/>
  <c r="T72" i="1" s="1"/>
  <c r="R80" i="1"/>
  <c r="T80" i="1" s="1"/>
  <c r="R88" i="1"/>
  <c r="T88" i="1" s="1"/>
  <c r="R41" i="1"/>
  <c r="T41" i="1" s="1"/>
  <c r="R49" i="1"/>
  <c r="T49" i="1" s="1"/>
  <c r="R57" i="1"/>
  <c r="T57" i="1" s="1"/>
  <c r="R65" i="1"/>
  <c r="T65" i="1" s="1"/>
  <c r="R73" i="1"/>
  <c r="T73" i="1" s="1"/>
  <c r="R81" i="1"/>
  <c r="T81" i="1" s="1"/>
  <c r="R95" i="1"/>
  <c r="T95" i="1" s="1"/>
  <c r="R37" i="1"/>
  <c r="T37" i="1" s="1"/>
  <c r="AI9" i="1"/>
  <c r="AI14" i="1" s="1"/>
  <c r="AI15" i="1" s="1"/>
  <c r="AE14" i="1"/>
  <c r="AE15" i="1" s="1"/>
  <c r="R83" i="1"/>
  <c r="T83" i="1" s="1"/>
  <c r="R91" i="1"/>
  <c r="T91" i="1" s="1"/>
  <c r="C134" i="8"/>
  <c r="AH8" i="1"/>
  <c r="AH9" i="1"/>
  <c r="C135" i="8"/>
  <c r="AD14" i="1"/>
  <c r="AD15" i="1" s="1"/>
  <c r="R39" i="1"/>
  <c r="T39" i="1" s="1"/>
  <c r="R85" i="1"/>
  <c r="T85" i="1" s="1"/>
  <c r="T36" i="1"/>
  <c r="B40" i="1"/>
  <c r="Q40" i="1" s="1"/>
  <c r="A39" i="1"/>
  <c r="D203" i="8" l="1"/>
  <c r="C206" i="8"/>
  <c r="N201" i="8"/>
  <c r="M207" i="8"/>
  <c r="AH14" i="1"/>
  <c r="AH15" i="1" s="1"/>
  <c r="X31" i="1"/>
  <c r="C136" i="8"/>
  <c r="C137" i="8"/>
  <c r="B41" i="1"/>
  <c r="A40" i="1"/>
  <c r="O201" i="8" l="1"/>
  <c r="N207" i="8"/>
  <c r="E203" i="8"/>
  <c r="D206" i="8"/>
  <c r="C139" i="8"/>
  <c r="C180" i="8" s="1"/>
  <c r="B42" i="1"/>
  <c r="A41" i="1"/>
  <c r="F203" i="8" l="1"/>
  <c r="E206" i="8"/>
  <c r="P201" i="8"/>
  <c r="O207" i="8"/>
  <c r="C192" i="8"/>
  <c r="D192" i="8" s="1"/>
  <c r="C156" i="8"/>
  <c r="E156" i="8" s="1"/>
  <c r="C144" i="8"/>
  <c r="D144" i="8" s="1"/>
  <c r="C178" i="8"/>
  <c r="D178" i="8" s="1"/>
  <c r="C184" i="8"/>
  <c r="D184" i="8" s="1"/>
  <c r="C190" i="8"/>
  <c r="E190" i="8" s="1"/>
  <c r="C148" i="8"/>
  <c r="E148" i="8" s="1"/>
  <c r="C187" i="8"/>
  <c r="E187" i="8" s="1"/>
  <c r="C151" i="8"/>
  <c r="E151" i="8" s="1"/>
  <c r="C175" i="8"/>
  <c r="D175" i="8" s="1"/>
  <c r="E175" i="8" s="1"/>
  <c r="C179" i="8"/>
  <c r="D179" i="8" s="1"/>
  <c r="C161" i="8"/>
  <c r="D161" i="8" s="1"/>
  <c r="C166" i="8"/>
  <c r="D166" i="8" s="1"/>
  <c r="E166" i="8" s="1"/>
  <c r="C163" i="8"/>
  <c r="E163" i="8" s="1"/>
  <c r="C162" i="8"/>
  <c r="D162" i="8" s="1"/>
  <c r="C154" i="8"/>
  <c r="E154" i="8" s="1"/>
  <c r="C169" i="8"/>
  <c r="D169" i="8" s="1"/>
  <c r="E169" i="8" s="1"/>
  <c r="C186" i="8"/>
  <c r="D186" i="8" s="1"/>
  <c r="C167" i="8"/>
  <c r="D167" i="8" s="1"/>
  <c r="E167" i="8" s="1"/>
  <c r="C155" i="8"/>
  <c r="D155" i="8" s="1"/>
  <c r="C153" i="8"/>
  <c r="D153" i="8" s="1"/>
  <c r="C185" i="8"/>
  <c r="E185" i="8" s="1"/>
  <c r="C176" i="8"/>
  <c r="D176" i="8" s="1"/>
  <c r="C173" i="8"/>
  <c r="D173" i="8" s="1"/>
  <c r="E173" i="8" s="1"/>
  <c r="C165" i="8"/>
  <c r="D165" i="8" s="1"/>
  <c r="E165" i="8" s="1"/>
  <c r="C174" i="8"/>
  <c r="D174" i="8" s="1"/>
  <c r="E174" i="8" s="1"/>
  <c r="C146" i="8"/>
  <c r="D146" i="8" s="1"/>
  <c r="C188" i="8"/>
  <c r="E188" i="8" s="1"/>
  <c r="C171" i="8"/>
  <c r="D171" i="8" s="1"/>
  <c r="C182" i="8"/>
  <c r="D182" i="8" s="1"/>
  <c r="C157" i="8"/>
  <c r="D157" i="8" s="1"/>
  <c r="C158" i="8"/>
  <c r="E158" i="8" s="1"/>
  <c r="C152" i="8"/>
  <c r="E152" i="8" s="1"/>
  <c r="C194" i="8"/>
  <c r="E194" i="8" s="1"/>
  <c r="C159" i="8"/>
  <c r="E159" i="8" s="1"/>
  <c r="C170" i="8"/>
  <c r="D170" i="8" s="1"/>
  <c r="E170" i="8" s="1"/>
  <c r="C145" i="8"/>
  <c r="E145" i="8" s="1"/>
  <c r="C149" i="8"/>
  <c r="D149" i="8" s="1"/>
  <c r="C147" i="8"/>
  <c r="E147" i="8" s="1"/>
  <c r="C168" i="8"/>
  <c r="D168" i="8" s="1"/>
  <c r="E168" i="8" s="1"/>
  <c r="C181" i="8"/>
  <c r="D181" i="8" s="1"/>
  <c r="C172" i="8"/>
  <c r="D172" i="8" s="1"/>
  <c r="E172" i="8" s="1"/>
  <c r="C150" i="8"/>
  <c r="E150" i="8" s="1"/>
  <c r="C177" i="8"/>
  <c r="E177" i="8" s="1"/>
  <c r="C164" i="8"/>
  <c r="D164" i="8" s="1"/>
  <c r="E164" i="8" s="1"/>
  <c r="C189" i="8"/>
  <c r="E189" i="8" s="1"/>
  <c r="C183" i="8"/>
  <c r="D183" i="8" s="1"/>
  <c r="C160" i="8"/>
  <c r="D160" i="8" s="1"/>
  <c r="C191" i="8"/>
  <c r="D191" i="8" s="1"/>
  <c r="C193" i="8"/>
  <c r="E193" i="8" s="1"/>
  <c r="E146" i="8"/>
  <c r="D156" i="8"/>
  <c r="D180" i="8"/>
  <c r="E180" i="8"/>
  <c r="B43" i="1"/>
  <c r="A42" i="1"/>
  <c r="D163" i="8" l="1"/>
  <c r="D190" i="8"/>
  <c r="E186" i="8"/>
  <c r="E184" i="8"/>
  <c r="E192" i="8"/>
  <c r="D151" i="8"/>
  <c r="E182" i="8"/>
  <c r="Q201" i="8"/>
  <c r="P207" i="8"/>
  <c r="G203" i="8"/>
  <c r="F206" i="8"/>
  <c r="D148" i="8"/>
  <c r="E153" i="8"/>
  <c r="E191" i="8"/>
  <c r="D150" i="8"/>
  <c r="D145" i="8"/>
  <c r="E162" i="8"/>
  <c r="E179" i="8"/>
  <c r="E183" i="8"/>
  <c r="D147" i="8"/>
  <c r="E144" i="8"/>
  <c r="D159" i="8"/>
  <c r="E176" i="8"/>
  <c r="E157" i="8"/>
  <c r="D194" i="8"/>
  <c r="E155" i="8"/>
  <c r="E181" i="8"/>
  <c r="D152" i="8"/>
  <c r="D187" i="8"/>
  <c r="E161" i="8"/>
  <c r="E178" i="8"/>
  <c r="D154" i="8"/>
  <c r="D193" i="8"/>
  <c r="D177" i="8"/>
  <c r="D185" i="8"/>
  <c r="D189" i="8"/>
  <c r="E149" i="8"/>
  <c r="D188" i="8"/>
  <c r="D158" i="8"/>
  <c r="E160" i="8"/>
  <c r="E171" i="8"/>
  <c r="B44" i="1"/>
  <c r="A43" i="1"/>
  <c r="H203" i="8" l="1"/>
  <c r="G206" i="8"/>
  <c r="R201" i="8"/>
  <c r="Q207" i="8"/>
  <c r="B45" i="1"/>
  <c r="A44" i="1"/>
  <c r="S201" i="8" l="1"/>
  <c r="R207" i="8"/>
  <c r="I203" i="8"/>
  <c r="H206" i="8"/>
  <c r="B46" i="1"/>
  <c r="A45" i="1"/>
  <c r="J203" i="8" l="1"/>
  <c r="I206" i="8"/>
  <c r="T201" i="8"/>
  <c r="S207" i="8"/>
  <c r="B47" i="1"/>
  <c r="A46" i="1"/>
  <c r="K203" i="8" l="1"/>
  <c r="J206" i="8"/>
  <c r="U201" i="8"/>
  <c r="T207" i="8"/>
  <c r="B48" i="1"/>
  <c r="A47" i="1"/>
  <c r="V201" i="8" l="1"/>
  <c r="U207" i="8"/>
  <c r="L203" i="8"/>
  <c r="K206" i="8"/>
  <c r="B49" i="1"/>
  <c r="A48" i="1"/>
  <c r="W201" i="8" l="1"/>
  <c r="V207" i="8"/>
  <c r="M203" i="8"/>
  <c r="L206" i="8"/>
  <c r="B50" i="1"/>
  <c r="A49" i="1"/>
  <c r="N203" i="8" l="1"/>
  <c r="M206" i="8"/>
  <c r="X201" i="8"/>
  <c r="W207" i="8"/>
  <c r="B51" i="1"/>
  <c r="A50" i="1"/>
  <c r="Y201" i="8" l="1"/>
  <c r="X207" i="8"/>
  <c r="O203" i="8"/>
  <c r="N206" i="8"/>
  <c r="B52" i="1"/>
  <c r="A51" i="1"/>
  <c r="P203" i="8" l="1"/>
  <c r="O206" i="8"/>
  <c r="Z201" i="8"/>
  <c r="Y207" i="8"/>
  <c r="B53" i="1"/>
  <c r="A52" i="1"/>
  <c r="AA201" i="8" l="1"/>
  <c r="Z207" i="8"/>
  <c r="Q203" i="8"/>
  <c r="P206" i="8"/>
  <c r="B54" i="1"/>
  <c r="A53" i="1"/>
  <c r="R203" i="8" l="1"/>
  <c r="Q206" i="8"/>
  <c r="AB201" i="8"/>
  <c r="AA207" i="8"/>
  <c r="B55" i="1"/>
  <c r="A54" i="1"/>
  <c r="AC201" i="8" l="1"/>
  <c r="AB207" i="8"/>
  <c r="S203" i="8"/>
  <c r="R206" i="8"/>
  <c r="B56" i="1"/>
  <c r="A55" i="1"/>
  <c r="AD201" i="8" l="1"/>
  <c r="AC207" i="8"/>
  <c r="T203" i="8"/>
  <c r="S206" i="8"/>
  <c r="B57" i="1"/>
  <c r="A56" i="1"/>
  <c r="U203" i="8" l="1"/>
  <c r="T206" i="8"/>
  <c r="AE201" i="8"/>
  <c r="AD207" i="8"/>
  <c r="B58" i="1"/>
  <c r="A57" i="1"/>
  <c r="AF201" i="8" l="1"/>
  <c r="AE207" i="8"/>
  <c r="V203" i="8"/>
  <c r="U206" i="8"/>
  <c r="B59" i="1"/>
  <c r="A58" i="1"/>
  <c r="W203" i="8" l="1"/>
  <c r="V206" i="8"/>
  <c r="AG201" i="8"/>
  <c r="AF207" i="8"/>
  <c r="B60" i="1"/>
  <c r="A59" i="1"/>
  <c r="X203" i="8" l="1"/>
  <c r="W206" i="8"/>
  <c r="AH201" i="8"/>
  <c r="AG207" i="8"/>
  <c r="B61" i="1"/>
  <c r="A60" i="1"/>
  <c r="AI201" i="8" l="1"/>
  <c r="AH207" i="8"/>
  <c r="Y203" i="8"/>
  <c r="X206" i="8"/>
  <c r="B62" i="1"/>
  <c r="A61" i="1"/>
  <c r="AJ201" i="8" l="1"/>
  <c r="AI207" i="8"/>
  <c r="Z203" i="8"/>
  <c r="Y206" i="8"/>
  <c r="B63" i="1"/>
  <c r="A62" i="1"/>
  <c r="AA203" i="8" l="1"/>
  <c r="Z206" i="8"/>
  <c r="AK201" i="8"/>
  <c r="AJ207" i="8"/>
  <c r="B64" i="1"/>
  <c r="A63" i="1"/>
  <c r="AL201" i="8" l="1"/>
  <c r="AK207" i="8"/>
  <c r="AB203" i="8"/>
  <c r="AA206" i="8"/>
  <c r="B65" i="1"/>
  <c r="A64" i="1"/>
  <c r="AC203" i="8" l="1"/>
  <c r="AB206" i="8"/>
  <c r="AM201" i="8"/>
  <c r="AL207" i="8"/>
  <c r="B66" i="1"/>
  <c r="A65" i="1"/>
  <c r="AD203" i="8" l="1"/>
  <c r="AC206" i="8"/>
  <c r="AN201" i="8"/>
  <c r="AM207" i="8"/>
  <c r="B67" i="1"/>
  <c r="V67" i="1" s="1"/>
  <c r="A66" i="1"/>
  <c r="AO201" i="8" l="1"/>
  <c r="AN207" i="8"/>
  <c r="AE203" i="8"/>
  <c r="AD206" i="8"/>
  <c r="B68" i="1"/>
  <c r="A67" i="1"/>
  <c r="AP201" i="8" l="1"/>
  <c r="AO207" i="8"/>
  <c r="AF203" i="8"/>
  <c r="AE206" i="8"/>
  <c r="B69" i="1"/>
  <c r="V69" i="1" s="1"/>
  <c r="M68" i="1" s="1"/>
  <c r="A68" i="1"/>
  <c r="AQ201" i="8" l="1"/>
  <c r="AP207" i="8"/>
  <c r="AG203" i="8"/>
  <c r="AF206" i="8"/>
  <c r="M36" i="1"/>
  <c r="M39" i="1"/>
  <c r="M40" i="1"/>
  <c r="M41" i="1"/>
  <c r="M47" i="1"/>
  <c r="M48" i="1"/>
  <c r="M49" i="1"/>
  <c r="M51" i="1"/>
  <c r="M57" i="1"/>
  <c r="M65" i="1"/>
  <c r="M67" i="1"/>
  <c r="M37" i="1"/>
  <c r="M38" i="1"/>
  <c r="M42" i="1"/>
  <c r="M43" i="1"/>
  <c r="M44" i="1"/>
  <c r="M45" i="1"/>
  <c r="M46" i="1"/>
  <c r="M50" i="1"/>
  <c r="M52" i="1"/>
  <c r="M53" i="1"/>
  <c r="M54" i="1"/>
  <c r="M55" i="1"/>
  <c r="M56" i="1"/>
  <c r="M58" i="1"/>
  <c r="M59" i="1"/>
  <c r="M60" i="1"/>
  <c r="M61" i="1"/>
  <c r="M62" i="1"/>
  <c r="M63" i="1"/>
  <c r="M64" i="1"/>
  <c r="M66" i="1"/>
  <c r="M69" i="1"/>
  <c r="B70" i="1"/>
  <c r="A69" i="1"/>
  <c r="AH203" i="8" l="1"/>
  <c r="AG206" i="8"/>
  <c r="AR201" i="8"/>
  <c r="AQ207" i="8"/>
  <c r="M70" i="1"/>
  <c r="B71" i="1"/>
  <c r="A70" i="1"/>
  <c r="AI203" i="8" l="1"/>
  <c r="AH206" i="8"/>
  <c r="AS201" i="8"/>
  <c r="AR207" i="8"/>
  <c r="M71" i="1"/>
  <c r="B72" i="1"/>
  <c r="A71" i="1"/>
  <c r="AT201" i="8" l="1"/>
  <c r="AS207" i="8"/>
  <c r="AJ203" i="8"/>
  <c r="AI206" i="8"/>
  <c r="M72" i="1"/>
  <c r="B73" i="1"/>
  <c r="A72" i="1"/>
  <c r="AK203" i="8" l="1"/>
  <c r="AJ206" i="8"/>
  <c r="AU201" i="8"/>
  <c r="AT207" i="8"/>
  <c r="M73" i="1"/>
  <c r="B74" i="1"/>
  <c r="A73" i="1"/>
  <c r="AV201" i="8" l="1"/>
  <c r="AU207" i="8"/>
  <c r="AL203" i="8"/>
  <c r="AK206" i="8"/>
  <c r="B75" i="1"/>
  <c r="M74" i="1"/>
  <c r="A74" i="1"/>
  <c r="AM203" i="8" l="1"/>
  <c r="AL206" i="8"/>
  <c r="AW201" i="8"/>
  <c r="AV207" i="8"/>
  <c r="M75" i="1"/>
  <c r="B76" i="1"/>
  <c r="A75" i="1"/>
  <c r="AX201" i="8" l="1"/>
  <c r="AW207" i="8"/>
  <c r="AN203" i="8"/>
  <c r="AM206" i="8"/>
  <c r="M76" i="1"/>
  <c r="B77" i="1"/>
  <c r="A76" i="1"/>
  <c r="AO203" i="8" l="1"/>
  <c r="AN206" i="8"/>
  <c r="AY201" i="8"/>
  <c r="AX207" i="8"/>
  <c r="M77" i="1"/>
  <c r="B78" i="1"/>
  <c r="A77" i="1"/>
  <c r="AZ201" i="8" l="1"/>
  <c r="AY207" i="8"/>
  <c r="AP203" i="8"/>
  <c r="AO206" i="8"/>
  <c r="M78" i="1"/>
  <c r="B79" i="1"/>
  <c r="A78" i="1"/>
  <c r="AQ203" i="8" l="1"/>
  <c r="AP206" i="8"/>
  <c r="BA201" i="8"/>
  <c r="AZ207" i="8"/>
  <c r="M79" i="1"/>
  <c r="B80" i="1"/>
  <c r="A79" i="1"/>
  <c r="BB201" i="8" l="1"/>
  <c r="BA207" i="8"/>
  <c r="AR203" i="8"/>
  <c r="AQ206" i="8"/>
  <c r="B81" i="1"/>
  <c r="M80" i="1"/>
  <c r="A80" i="1"/>
  <c r="AS203" i="8" l="1"/>
  <c r="AR206" i="8"/>
  <c r="BC201" i="8"/>
  <c r="BB207" i="8"/>
  <c r="M81" i="1"/>
  <c r="B82" i="1"/>
  <c r="A81" i="1"/>
  <c r="BD201" i="8" l="1"/>
  <c r="BC207" i="8"/>
  <c r="AT203" i="8"/>
  <c r="AS206" i="8"/>
  <c r="M82" i="1"/>
  <c r="B83" i="1"/>
  <c r="A82" i="1"/>
  <c r="AU203" i="8" l="1"/>
  <c r="AT206" i="8"/>
  <c r="BE201" i="8"/>
  <c r="BD207" i="8"/>
  <c r="M83" i="1"/>
  <c r="B84" i="1"/>
  <c r="A83" i="1"/>
  <c r="BF201" i="8" l="1"/>
  <c r="BE207" i="8"/>
  <c r="AV203" i="8"/>
  <c r="AU206" i="8"/>
  <c r="B85" i="1"/>
  <c r="M84" i="1"/>
  <c r="A84" i="1"/>
  <c r="AW203" i="8" l="1"/>
  <c r="AV206" i="8"/>
  <c r="BG201" i="8"/>
  <c r="BF207" i="8"/>
  <c r="M85" i="1"/>
  <c r="B86" i="1"/>
  <c r="A85" i="1"/>
  <c r="AX203" i="8" l="1"/>
  <c r="AW206" i="8"/>
  <c r="BH201" i="8"/>
  <c r="BG207" i="8"/>
  <c r="M86" i="1"/>
  <c r="B87" i="1"/>
  <c r="A86" i="1"/>
  <c r="BI201" i="8" l="1"/>
  <c r="BH207" i="8"/>
  <c r="AY203" i="8"/>
  <c r="AX206" i="8"/>
  <c r="M87" i="1"/>
  <c r="B88" i="1"/>
  <c r="A87" i="1"/>
  <c r="AZ203" i="8" l="1"/>
  <c r="AY206" i="8"/>
  <c r="BJ201" i="8"/>
  <c r="BJ207" i="8" s="1"/>
  <c r="BI207" i="8"/>
  <c r="M88" i="1"/>
  <c r="B89" i="1"/>
  <c r="A88" i="1"/>
  <c r="BK207" i="8" l="1"/>
  <c r="AI32" i="1" s="1"/>
  <c r="BA203" i="8"/>
  <c r="AZ206" i="8"/>
  <c r="M89" i="1"/>
  <c r="B90" i="1"/>
  <c r="A89" i="1"/>
  <c r="BB203" i="8" l="1"/>
  <c r="BA206" i="8"/>
  <c r="B91" i="1"/>
  <c r="M90" i="1"/>
  <c r="A90" i="1"/>
  <c r="BC203" i="8" l="1"/>
  <c r="BB206" i="8"/>
  <c r="M91" i="1"/>
  <c r="B92" i="1"/>
  <c r="A91" i="1"/>
  <c r="BD203" i="8" l="1"/>
  <c r="BC206" i="8"/>
  <c r="M92" i="1"/>
  <c r="B93" i="1"/>
  <c r="A92" i="1"/>
  <c r="BE203" i="8" l="1"/>
  <c r="BD206" i="8"/>
  <c r="M93" i="1"/>
  <c r="B94" i="1"/>
  <c r="A93" i="1"/>
  <c r="BF203" i="8" l="1"/>
  <c r="BE206" i="8"/>
  <c r="M94" i="1"/>
  <c r="B95" i="1"/>
  <c r="A94" i="1"/>
  <c r="BG203" i="8" l="1"/>
  <c r="BF206" i="8"/>
  <c r="M95" i="1"/>
  <c r="A95" i="1"/>
  <c r="BH203" i="8" l="1"/>
  <c r="BG206" i="8"/>
  <c r="D61" i="1"/>
  <c r="D95" i="1"/>
  <c r="D91" i="1"/>
  <c r="D89" i="1"/>
  <c r="D85" i="1"/>
  <c r="D70" i="1"/>
  <c r="D63" i="1"/>
  <c r="D62" i="1"/>
  <c r="D60" i="1"/>
  <c r="D53" i="1"/>
  <c r="L95" i="1"/>
  <c r="K95" i="1" s="1"/>
  <c r="L71" i="1"/>
  <c r="K71" i="1" s="1"/>
  <c r="D94" i="1"/>
  <c r="D86" i="1"/>
  <c r="D84" i="1"/>
  <c r="D80" i="1"/>
  <c r="D87" i="1"/>
  <c r="D73" i="1"/>
  <c r="D65" i="1"/>
  <c r="D64" i="1"/>
  <c r="D58" i="1"/>
  <c r="D52" i="1"/>
  <c r="L93" i="1"/>
  <c r="K93" i="1" s="1"/>
  <c r="L91" i="1"/>
  <c r="K91" i="1" s="1"/>
  <c r="L89" i="1"/>
  <c r="K89" i="1" s="1"/>
  <c r="L87" i="1"/>
  <c r="K87" i="1" s="1"/>
  <c r="L85" i="1"/>
  <c r="K85" i="1" s="1"/>
  <c r="L83" i="1"/>
  <c r="K83" i="1" s="1"/>
  <c r="L81" i="1"/>
  <c r="K81" i="1" s="1"/>
  <c r="L79" i="1"/>
  <c r="K79" i="1" s="1"/>
  <c r="L77" i="1"/>
  <c r="K77" i="1" s="1"/>
  <c r="L75" i="1"/>
  <c r="K75" i="1" s="1"/>
  <c r="L73" i="1"/>
  <c r="K73" i="1" s="1"/>
  <c r="L70" i="1"/>
  <c r="K70" i="1" s="1"/>
  <c r="L44" i="1"/>
  <c r="K44" i="1" s="1"/>
  <c r="L54" i="1"/>
  <c r="K54" i="1" s="1"/>
  <c r="L69" i="1"/>
  <c r="K69" i="1" s="1"/>
  <c r="L41" i="1"/>
  <c r="K41" i="1" s="1"/>
  <c r="L52" i="1"/>
  <c r="K52" i="1" s="1"/>
  <c r="L61" i="1"/>
  <c r="K61" i="1" s="1"/>
  <c r="L60" i="1"/>
  <c r="K60" i="1" s="1"/>
  <c r="L46" i="1"/>
  <c r="K46" i="1" s="1"/>
  <c r="L49" i="1"/>
  <c r="K49" i="1" s="1"/>
  <c r="L40" i="1"/>
  <c r="K40" i="1" s="1"/>
  <c r="L65" i="1"/>
  <c r="K65" i="1" s="1"/>
  <c r="L63" i="1"/>
  <c r="K63" i="1" s="1"/>
  <c r="L48" i="1"/>
  <c r="K48" i="1" s="1"/>
  <c r="L66" i="1"/>
  <c r="K66" i="1" s="1"/>
  <c r="L59" i="1"/>
  <c r="K59" i="1" s="1"/>
  <c r="L64" i="1"/>
  <c r="K64" i="1" s="1"/>
  <c r="D92" i="1"/>
  <c r="D90" i="1"/>
  <c r="D88" i="1"/>
  <c r="D76" i="1"/>
  <c r="D74" i="1"/>
  <c r="D68" i="1"/>
  <c r="D66" i="1"/>
  <c r="D59" i="1"/>
  <c r="D46" i="1"/>
  <c r="D42" i="1"/>
  <c r="D40" i="1"/>
  <c r="D82" i="1"/>
  <c r="D72" i="1"/>
  <c r="D56" i="1"/>
  <c r="D54" i="1"/>
  <c r="D51" i="1"/>
  <c r="D49" i="1"/>
  <c r="D45" i="1"/>
  <c r="L36" i="1"/>
  <c r="K36" i="1" s="1"/>
  <c r="O36" i="1" s="1"/>
  <c r="C34" i="8" s="1"/>
  <c r="D34" i="8" s="1"/>
  <c r="D77" i="1"/>
  <c r="D75" i="1"/>
  <c r="D44" i="1"/>
  <c r="D43" i="1"/>
  <c r="L72" i="1"/>
  <c r="K72" i="1" s="1"/>
  <c r="L62" i="1"/>
  <c r="K62" i="1" s="1"/>
  <c r="L45" i="1"/>
  <c r="K45" i="1" s="1"/>
  <c r="L68" i="1"/>
  <c r="K68" i="1" s="1"/>
  <c r="D55" i="1"/>
  <c r="D48" i="1"/>
  <c r="D41" i="1"/>
  <c r="L42" i="1"/>
  <c r="K42" i="1" s="1"/>
  <c r="L50" i="1"/>
  <c r="K50" i="1" s="1"/>
  <c r="D93" i="1"/>
  <c r="D67" i="1"/>
  <c r="D50" i="1"/>
  <c r="L90" i="1"/>
  <c r="K90" i="1" s="1"/>
  <c r="L86" i="1"/>
  <c r="K86" i="1" s="1"/>
  <c r="L82" i="1"/>
  <c r="K82" i="1" s="1"/>
  <c r="L78" i="1"/>
  <c r="K78" i="1" s="1"/>
  <c r="L74" i="1"/>
  <c r="K74" i="1" s="1"/>
  <c r="L53" i="1"/>
  <c r="K53" i="1" s="1"/>
  <c r="L67" i="1"/>
  <c r="K67" i="1" s="1"/>
  <c r="L43" i="1"/>
  <c r="K43" i="1" s="1"/>
  <c r="L58" i="1"/>
  <c r="K58" i="1" s="1"/>
  <c r="L38" i="1"/>
  <c r="K38" i="1" s="1"/>
  <c r="L39" i="1"/>
  <c r="K39" i="1" s="1"/>
  <c r="L37" i="1"/>
  <c r="K37" i="1" s="1"/>
  <c r="L57" i="1"/>
  <c r="K57" i="1" s="1"/>
  <c r="D71" i="1"/>
  <c r="L76" i="1"/>
  <c r="K76" i="1" s="1"/>
  <c r="D37" i="1"/>
  <c r="I37" i="1" s="1"/>
  <c r="D78" i="1"/>
  <c r="D79" i="1"/>
  <c r="D69" i="1"/>
  <c r="D57" i="1"/>
  <c r="D47" i="1"/>
  <c r="D39" i="1"/>
  <c r="L94" i="1"/>
  <c r="K94" i="1" s="1"/>
  <c r="L56" i="1"/>
  <c r="K56" i="1" s="1"/>
  <c r="D81" i="1"/>
  <c r="D83" i="1"/>
  <c r="L92" i="1"/>
  <c r="K92" i="1" s="1"/>
  <c r="L88" i="1"/>
  <c r="K88" i="1" s="1"/>
  <c r="L84" i="1"/>
  <c r="K84" i="1" s="1"/>
  <c r="L80" i="1"/>
  <c r="K80" i="1" s="1"/>
  <c r="D38" i="1"/>
  <c r="L47" i="1"/>
  <c r="K47" i="1" s="1"/>
  <c r="L51" i="1"/>
  <c r="K51" i="1" s="1"/>
  <c r="D36" i="1"/>
  <c r="C36" i="1" s="1"/>
  <c r="L55" i="1"/>
  <c r="K55" i="1" s="1"/>
  <c r="BI203" i="8" l="1"/>
  <c r="BH206" i="8"/>
  <c r="I38" i="1"/>
  <c r="J36" i="1"/>
  <c r="D19" i="1"/>
  <c r="E37" i="1"/>
  <c r="BJ203" i="8" l="1"/>
  <c r="BJ206" i="8" s="1"/>
  <c r="BI206" i="8"/>
  <c r="C37" i="1"/>
  <c r="I39" i="1"/>
  <c r="H37" i="1"/>
  <c r="N37" i="1"/>
  <c r="J37" i="1" l="1"/>
  <c r="BK206" i="8"/>
  <c r="AI30" i="1" s="1"/>
  <c r="E38" i="1"/>
  <c r="N38" i="1" s="1"/>
  <c r="I40" i="1"/>
  <c r="O37" i="1"/>
  <c r="C35" i="8" s="1"/>
  <c r="D35" i="8" s="1"/>
  <c r="C38" i="1" l="1"/>
  <c r="H38" i="1"/>
  <c r="O38" i="1"/>
  <c r="C36" i="8" s="1"/>
  <c r="D36" i="8" s="1"/>
  <c r="J38" i="1" l="1"/>
  <c r="E39" i="1"/>
  <c r="N39" i="1" l="1"/>
  <c r="O39" i="1" s="1"/>
  <c r="C37" i="8" s="1"/>
  <c r="D37" i="8" s="1"/>
  <c r="C39" i="1"/>
  <c r="H39" i="1"/>
  <c r="J39" i="1" l="1"/>
  <c r="E40" i="1"/>
  <c r="C40" i="1" l="1"/>
  <c r="N40" i="1"/>
  <c r="O40" i="1" s="1"/>
  <c r="C38" i="8" s="1"/>
  <c r="D38" i="8" s="1"/>
  <c r="H40" i="1"/>
  <c r="J40" i="1" l="1"/>
  <c r="E41" i="1"/>
  <c r="C41" i="1" s="1"/>
  <c r="I41" i="1" l="1"/>
  <c r="H41" i="1"/>
  <c r="E42" i="1"/>
  <c r="N41" i="1"/>
  <c r="O41" i="1" s="1"/>
  <c r="C39" i="8" s="1"/>
  <c r="D39" i="8" s="1"/>
  <c r="J41" i="1" l="1"/>
  <c r="C42" i="1"/>
  <c r="I42" i="1" s="1"/>
  <c r="N42" i="1"/>
  <c r="O42" i="1" s="1"/>
  <c r="C40" i="8" s="1"/>
  <c r="D40" i="8" s="1"/>
  <c r="H42" i="1"/>
  <c r="J42" i="1" l="1"/>
  <c r="E43" i="1"/>
  <c r="C43" i="1" l="1"/>
  <c r="I43" i="1" s="1"/>
  <c r="N43" i="1"/>
  <c r="O43" i="1" s="1"/>
  <c r="C41" i="8" s="1"/>
  <c r="D41" i="8" s="1"/>
  <c r="H43" i="1"/>
  <c r="J43" i="1" l="1"/>
  <c r="E44" i="1"/>
  <c r="C44" i="1" s="1"/>
  <c r="I44" i="1" s="1"/>
  <c r="J44" i="1" l="1"/>
  <c r="N44" i="1"/>
  <c r="O44" i="1" s="1"/>
  <c r="C42" i="8" s="1"/>
  <c r="D42" i="8" s="1"/>
  <c r="H44" i="1"/>
  <c r="E45" i="1"/>
  <c r="C45" i="1" l="1"/>
  <c r="I45" i="1" s="1"/>
  <c r="N45" i="1"/>
  <c r="O45" i="1" s="1"/>
  <c r="H45" i="1"/>
  <c r="C43" i="8" l="1"/>
  <c r="D43" i="8" s="1"/>
  <c r="E46" i="1"/>
  <c r="C46" i="1" s="1"/>
  <c r="I46" i="1" s="1"/>
  <c r="J45" i="1"/>
  <c r="J46" i="1" l="1"/>
  <c r="N46" i="1"/>
  <c r="O46" i="1" s="1"/>
  <c r="H46" i="1"/>
  <c r="E47" i="1"/>
  <c r="C44" i="8" l="1"/>
  <c r="D44" i="8" s="1"/>
  <c r="C47" i="1"/>
  <c r="I47" i="1" s="1"/>
  <c r="N47" i="1"/>
  <c r="O47" i="1" s="1"/>
  <c r="C45" i="8" s="1"/>
  <c r="D45" i="8" s="1"/>
  <c r="H47" i="1"/>
  <c r="E48" i="1" l="1"/>
  <c r="J47" i="1"/>
  <c r="C48" i="1" l="1"/>
  <c r="I48" i="1" s="1"/>
  <c r="N48" i="1"/>
  <c r="O48" i="1" s="1"/>
  <c r="H48" i="1"/>
  <c r="C46" i="8" l="1"/>
  <c r="D46" i="8" s="1"/>
  <c r="E49" i="1"/>
  <c r="J48" i="1"/>
  <c r="C49" i="1" l="1"/>
  <c r="I49" i="1" s="1"/>
  <c r="H49" i="1"/>
  <c r="N49" i="1"/>
  <c r="O49" i="1" s="1"/>
  <c r="C47" i="8" l="1"/>
  <c r="D47" i="8" s="1"/>
  <c r="E50" i="1"/>
  <c r="J49" i="1"/>
  <c r="C50" i="1" l="1"/>
  <c r="I50" i="1" s="1"/>
  <c r="H50" i="1"/>
  <c r="N50" i="1"/>
  <c r="O50" i="1" s="1"/>
  <c r="C48" i="8" s="1"/>
  <c r="D48" i="8" s="1"/>
  <c r="E51" i="1" l="1"/>
  <c r="J50" i="1"/>
  <c r="C51" i="1" l="1"/>
  <c r="I51" i="1" s="1"/>
  <c r="H51" i="1"/>
  <c r="N51" i="1"/>
  <c r="O51" i="1" s="1"/>
  <c r="C49" i="8" s="1"/>
  <c r="D49" i="8" s="1"/>
  <c r="E52" i="1" l="1"/>
  <c r="C52" i="1" s="1"/>
  <c r="I52" i="1" s="1"/>
  <c r="J51" i="1"/>
  <c r="J52" i="1" l="1"/>
  <c r="N52" i="1"/>
  <c r="O52" i="1" s="1"/>
  <c r="C50" i="8" s="1"/>
  <c r="D50" i="8" s="1"/>
  <c r="H52" i="1"/>
  <c r="E53" i="1"/>
  <c r="C53" i="1" l="1"/>
  <c r="I53" i="1" s="1"/>
  <c r="N53" i="1"/>
  <c r="O53" i="1" s="1"/>
  <c r="C51" i="8" s="1"/>
  <c r="D51" i="8" s="1"/>
  <c r="H53" i="1"/>
  <c r="E54" i="1" l="1"/>
  <c r="J53" i="1"/>
  <c r="C54" i="1" l="1"/>
  <c r="I54" i="1" s="1"/>
  <c r="H54" i="1"/>
  <c r="N54" i="1"/>
  <c r="O54" i="1" s="1"/>
  <c r="C52" i="8" s="1"/>
  <c r="D52" i="8" s="1"/>
  <c r="E55" i="1" l="1"/>
  <c r="J54" i="1"/>
  <c r="C55" i="1" l="1"/>
  <c r="I55" i="1" s="1"/>
  <c r="H55" i="1"/>
  <c r="N55" i="1"/>
  <c r="O55" i="1" s="1"/>
  <c r="C53" i="8" s="1"/>
  <c r="D53" i="8" s="1"/>
  <c r="E56" i="1" l="1"/>
  <c r="J55" i="1"/>
  <c r="C56" i="1" l="1"/>
  <c r="I56" i="1" s="1"/>
  <c r="N56" i="1"/>
  <c r="O56" i="1" s="1"/>
  <c r="C54" i="8" s="1"/>
  <c r="D54" i="8" s="1"/>
  <c r="H56" i="1"/>
  <c r="E57" i="1" l="1"/>
  <c r="J56" i="1"/>
  <c r="C57" i="1" l="1"/>
  <c r="I57" i="1" s="1"/>
  <c r="N57" i="1"/>
  <c r="O57" i="1" s="1"/>
  <c r="C55" i="8" s="1"/>
  <c r="D55" i="8" s="1"/>
  <c r="H57" i="1"/>
  <c r="E58" i="1" l="1"/>
  <c r="C58" i="1" s="1"/>
  <c r="I58" i="1" s="1"/>
  <c r="J57" i="1"/>
  <c r="J58" i="1" l="1"/>
  <c r="H58" i="1"/>
  <c r="N58" i="1"/>
  <c r="O58" i="1" s="1"/>
  <c r="C56" i="8" s="1"/>
  <c r="D56" i="8" s="1"/>
  <c r="E59" i="1"/>
  <c r="C59" i="1" l="1"/>
  <c r="I59" i="1" s="1"/>
  <c r="H59" i="1"/>
  <c r="N59" i="1"/>
  <c r="O59" i="1" s="1"/>
  <c r="C57" i="8" s="1"/>
  <c r="D57" i="8" s="1"/>
  <c r="J59" i="1" l="1"/>
  <c r="E60" i="1"/>
  <c r="C60" i="1" l="1"/>
  <c r="I60" i="1" s="1"/>
  <c r="I61" i="1" s="1"/>
  <c r="N60" i="1"/>
  <c r="O60" i="1" s="1"/>
  <c r="C58" i="8" s="1"/>
  <c r="D58" i="8" s="1"/>
  <c r="H60" i="1"/>
  <c r="J60" i="1" l="1"/>
  <c r="E61" i="1"/>
  <c r="C61" i="1" l="1"/>
  <c r="N61" i="1"/>
  <c r="O61" i="1" s="1"/>
  <c r="C59" i="8" s="1"/>
  <c r="D59" i="8" s="1"/>
  <c r="H61" i="1"/>
  <c r="J61" i="1" l="1"/>
  <c r="E62" i="1"/>
  <c r="C62" i="1" s="1"/>
  <c r="I62" i="1" s="1"/>
  <c r="J62" i="1" l="1"/>
  <c r="H62" i="1"/>
  <c r="N62" i="1"/>
  <c r="O62" i="1" s="1"/>
  <c r="C60" i="8" s="1"/>
  <c r="D60" i="8" s="1"/>
  <c r="E63" i="1"/>
  <c r="C63" i="1" l="1"/>
  <c r="I63" i="1" s="1"/>
  <c r="H63" i="1"/>
  <c r="N63" i="1"/>
  <c r="O63" i="1" s="1"/>
  <c r="C61" i="8" s="1"/>
  <c r="D61" i="8" s="1"/>
  <c r="E64" i="1" l="1"/>
  <c r="J63" i="1"/>
  <c r="C64" i="1" l="1"/>
  <c r="I64" i="1" s="1"/>
  <c r="H64" i="1"/>
  <c r="N64" i="1"/>
  <c r="O64" i="1" s="1"/>
  <c r="C62" i="8" s="1"/>
  <c r="D62" i="8" s="1"/>
  <c r="E65" i="1" l="1"/>
  <c r="J64" i="1"/>
  <c r="C65" i="1" l="1"/>
  <c r="I65" i="1" s="1"/>
  <c r="N65" i="1"/>
  <c r="O65" i="1" s="1"/>
  <c r="C63" i="8" s="1"/>
  <c r="D63" i="8" s="1"/>
  <c r="H65" i="1"/>
  <c r="E66" i="1" l="1"/>
  <c r="J65" i="1"/>
  <c r="C66" i="1" l="1"/>
  <c r="I66" i="1" s="1"/>
  <c r="N66" i="1"/>
  <c r="O66" i="1" s="1"/>
  <c r="C64" i="8" s="1"/>
  <c r="D64" i="8" s="1"/>
  <c r="H66" i="1"/>
  <c r="E67" i="1" l="1"/>
  <c r="J66" i="1"/>
  <c r="C67" i="1" l="1"/>
  <c r="I67" i="1" s="1"/>
  <c r="H67" i="1"/>
  <c r="N67" i="1"/>
  <c r="O67" i="1" s="1"/>
  <c r="C65" i="8" s="1"/>
  <c r="D65" i="8" s="1"/>
  <c r="E68" i="1" l="1"/>
  <c r="J67" i="1"/>
  <c r="C68" i="1" l="1"/>
  <c r="I68" i="1" s="1"/>
  <c r="N68" i="1"/>
  <c r="O68" i="1" s="1"/>
  <c r="C66" i="8" s="1"/>
  <c r="D66" i="8" s="1"/>
  <c r="H68" i="1"/>
  <c r="E69" i="1" l="1"/>
  <c r="J68" i="1"/>
  <c r="C69" i="1" l="1"/>
  <c r="N69" i="1"/>
  <c r="O69" i="1" s="1"/>
  <c r="C67" i="8" s="1"/>
  <c r="D67" i="8" s="1"/>
  <c r="H69" i="1"/>
  <c r="I69" i="1" l="1"/>
  <c r="E70" i="1"/>
  <c r="C70" i="1" s="1"/>
  <c r="I70" i="1" l="1"/>
  <c r="J69" i="1"/>
  <c r="H70" i="1"/>
  <c r="N70" i="1"/>
  <c r="O70" i="1" s="1"/>
  <c r="C68" i="8" s="1"/>
  <c r="D68" i="8" s="1"/>
  <c r="E71" i="1"/>
  <c r="C71" i="1" l="1"/>
  <c r="E72" i="1" s="1"/>
  <c r="C72" i="1" s="1"/>
  <c r="H71" i="1"/>
  <c r="N71" i="1"/>
  <c r="O71" i="1" s="1"/>
  <c r="C69" i="8" s="1"/>
  <c r="D69" i="8" s="1"/>
  <c r="J70" i="1"/>
  <c r="I71" i="1" l="1"/>
  <c r="J71" i="1" s="1"/>
  <c r="N72" i="1"/>
  <c r="O72" i="1" s="1"/>
  <c r="C70" i="8" s="1"/>
  <c r="D70" i="8" s="1"/>
  <c r="H72" i="1"/>
  <c r="E73" i="1"/>
  <c r="C73" i="1" s="1"/>
  <c r="I72" i="1" l="1"/>
  <c r="J72" i="1" s="1"/>
  <c r="N73" i="1"/>
  <c r="O73" i="1" s="1"/>
  <c r="H73" i="1"/>
  <c r="E74" i="1"/>
  <c r="C74" i="1" s="1"/>
  <c r="I73" i="1" l="1"/>
  <c r="J73" i="1" s="1"/>
  <c r="C71" i="8"/>
  <c r="D71" i="8" s="1"/>
  <c r="H74" i="1"/>
  <c r="N74" i="1"/>
  <c r="O74" i="1" s="1"/>
  <c r="E75" i="1"/>
  <c r="C75" i="1" s="1"/>
  <c r="I74" i="1" l="1"/>
  <c r="I75" i="1" s="1"/>
  <c r="J75" i="1" s="1"/>
  <c r="C72" i="8"/>
  <c r="D72" i="8" s="1"/>
  <c r="N75" i="1"/>
  <c r="O75" i="1" s="1"/>
  <c r="C73" i="8" s="1"/>
  <c r="D73" i="8" s="1"/>
  <c r="H75" i="1"/>
  <c r="E76" i="1"/>
  <c r="J74" i="1" l="1"/>
  <c r="C76" i="1"/>
  <c r="N76" i="1"/>
  <c r="O76" i="1" s="1"/>
  <c r="C74" i="8" s="1"/>
  <c r="D74" i="8" s="1"/>
  <c r="H76" i="1"/>
  <c r="I76" i="1" l="1"/>
  <c r="E77" i="1"/>
  <c r="C77" i="1" s="1"/>
  <c r="N77" i="1" l="1"/>
  <c r="O77" i="1" s="1"/>
  <c r="H77" i="1"/>
  <c r="E78" i="1"/>
  <c r="J76" i="1"/>
  <c r="I77" i="1"/>
  <c r="C75" i="8" l="1"/>
  <c r="D75" i="8" s="1"/>
  <c r="C78" i="1"/>
  <c r="E79" i="1" s="1"/>
  <c r="C79" i="1" s="1"/>
  <c r="N78" i="1"/>
  <c r="O78" i="1" s="1"/>
  <c r="C76" i="8" s="1"/>
  <c r="D76" i="8" s="1"/>
  <c r="H78" i="1"/>
  <c r="J77" i="1"/>
  <c r="I78" i="1" l="1"/>
  <c r="I79" i="1" s="1"/>
  <c r="N79" i="1"/>
  <c r="O79" i="1" s="1"/>
  <c r="C77" i="8" s="1"/>
  <c r="D77" i="8" s="1"/>
  <c r="H79" i="1"/>
  <c r="E80" i="1"/>
  <c r="J78" i="1" l="1"/>
  <c r="J79" i="1"/>
  <c r="C80" i="1"/>
  <c r="E81" i="1" s="1"/>
  <c r="H80" i="1"/>
  <c r="N80" i="1"/>
  <c r="O80" i="1" s="1"/>
  <c r="C78" i="8" s="1"/>
  <c r="D78" i="8" s="1"/>
  <c r="I80" i="1" l="1"/>
  <c r="C81" i="1"/>
  <c r="E82" i="1" s="1"/>
  <c r="N81" i="1"/>
  <c r="O81" i="1" s="1"/>
  <c r="C79" i="8" s="1"/>
  <c r="D79" i="8" s="1"/>
  <c r="H81" i="1"/>
  <c r="I81" i="1" l="1"/>
  <c r="J81" i="1" s="1"/>
  <c r="J80" i="1"/>
  <c r="C82" i="1"/>
  <c r="H82" i="1"/>
  <c r="N82" i="1"/>
  <c r="I82" i="1" l="1"/>
  <c r="I83" i="1" s="1"/>
  <c r="E83" i="1"/>
  <c r="H83" i="1" s="1"/>
  <c r="O82" i="1"/>
  <c r="C80" i="8" s="1"/>
  <c r="D80" i="8" s="1"/>
  <c r="J82" i="1" l="1"/>
  <c r="C83" i="1"/>
  <c r="N83" i="1"/>
  <c r="O83" i="1" s="1"/>
  <c r="C81" i="8" s="1"/>
  <c r="D81" i="8" s="1"/>
  <c r="J83" i="1" l="1"/>
  <c r="E84" i="1"/>
  <c r="I84" i="1"/>
  <c r="N84" i="1" l="1"/>
  <c r="O84" i="1" s="1"/>
  <c r="C82" i="8" s="1"/>
  <c r="D82" i="8" s="1"/>
  <c r="C84" i="1"/>
  <c r="H84" i="1"/>
  <c r="J84" i="1" l="1"/>
  <c r="E85" i="1"/>
  <c r="H85" i="1" l="1"/>
  <c r="C85" i="1"/>
  <c r="I85" i="1" s="1"/>
  <c r="N85" i="1"/>
  <c r="O85" i="1" s="1"/>
  <c r="C83" i="8" s="1"/>
  <c r="D83" i="8" s="1"/>
  <c r="E86" i="1" l="1"/>
  <c r="C86" i="1" s="1"/>
  <c r="I86" i="1" s="1"/>
  <c r="J85" i="1"/>
  <c r="H86" i="1" l="1"/>
  <c r="N86" i="1"/>
  <c r="O86" i="1" s="1"/>
  <c r="C84" i="8" s="1"/>
  <c r="D84" i="8" s="1"/>
  <c r="E87" i="1"/>
  <c r="C87" i="1" s="1"/>
  <c r="J86" i="1"/>
  <c r="I87" i="1" l="1"/>
  <c r="E88" i="1"/>
  <c r="H88" i="1" s="1"/>
  <c r="H87" i="1"/>
  <c r="N87" i="1"/>
  <c r="O87" i="1" s="1"/>
  <c r="C85" i="8" s="1"/>
  <c r="D85" i="8" s="1"/>
  <c r="J87" i="1" l="1"/>
  <c r="C88" i="1"/>
  <c r="E89" i="1" s="1"/>
  <c r="C89" i="1" s="1"/>
  <c r="N88" i="1"/>
  <c r="O88" i="1" s="1"/>
  <c r="C86" i="8" s="1"/>
  <c r="D86" i="8" s="1"/>
  <c r="I88" i="1" l="1"/>
  <c r="I89" i="1" s="1"/>
  <c r="J89" i="1" s="1"/>
  <c r="N89" i="1"/>
  <c r="O89" i="1" s="1"/>
  <c r="C87" i="8" s="1"/>
  <c r="D87" i="8" s="1"/>
  <c r="H89" i="1"/>
  <c r="E90" i="1"/>
  <c r="J88" i="1" l="1"/>
  <c r="C90" i="1"/>
  <c r="I90" i="1" s="1"/>
  <c r="N90" i="1"/>
  <c r="O90" i="1" s="1"/>
  <c r="C88" i="8" s="1"/>
  <c r="D88" i="8" s="1"/>
  <c r="H90" i="1"/>
  <c r="J90" i="1" l="1"/>
  <c r="E91" i="1"/>
  <c r="C91" i="1" s="1"/>
  <c r="I91" i="1" s="1"/>
  <c r="J91" i="1" l="1"/>
  <c r="N91" i="1"/>
  <c r="O91" i="1" s="1"/>
  <c r="C89" i="8" s="1"/>
  <c r="D89" i="8" s="1"/>
  <c r="H91" i="1"/>
  <c r="E92" i="1"/>
  <c r="C92" i="1" s="1"/>
  <c r="I92" i="1" l="1"/>
  <c r="N92" i="1"/>
  <c r="O92" i="1" s="1"/>
  <c r="C90" i="8" s="1"/>
  <c r="D90" i="8" s="1"/>
  <c r="H92" i="1"/>
  <c r="E93" i="1"/>
  <c r="C93" i="1" s="1"/>
  <c r="I93" i="1" l="1"/>
  <c r="J92" i="1"/>
  <c r="H93" i="1"/>
  <c r="N93" i="1"/>
  <c r="O93" i="1" s="1"/>
  <c r="C91" i="8" s="1"/>
  <c r="D91" i="8" s="1"/>
  <c r="E94" i="1"/>
  <c r="C94" i="1" s="1"/>
  <c r="I94" i="1" l="1"/>
  <c r="J94" i="1" s="1"/>
  <c r="J93" i="1"/>
  <c r="N94" i="1"/>
  <c r="O94" i="1" s="1"/>
  <c r="C92" i="8" s="1"/>
  <c r="D92" i="8" s="1"/>
  <c r="H94" i="1"/>
  <c r="E95" i="1"/>
  <c r="D24" i="1" l="1"/>
  <c r="C95" i="1"/>
  <c r="H95" i="1"/>
  <c r="D26" i="1" s="1"/>
  <c r="C28" i="8" s="1"/>
  <c r="N95" i="1"/>
  <c r="I95" i="1" l="1"/>
  <c r="J95" i="1" s="1"/>
  <c r="D18" i="1" s="1"/>
  <c r="D14" i="1"/>
  <c r="D25" i="1"/>
  <c r="C29" i="8"/>
  <c r="E9" i="8" s="1"/>
  <c r="C11" i="8" s="1"/>
  <c r="D11" i="8" s="1"/>
  <c r="D17" i="1"/>
  <c r="D13" i="1" s="1"/>
  <c r="O95" i="1"/>
  <c r="D20" i="1"/>
  <c r="D22" i="1" s="1"/>
  <c r="C102" i="8" s="1"/>
  <c r="C114" i="8" l="1"/>
  <c r="B114" i="8"/>
  <c r="C93" i="8"/>
  <c r="D93" i="8" s="1"/>
  <c r="E11" i="8"/>
  <c r="D21" i="1"/>
  <c r="C27" i="8" s="1"/>
  <c r="C30" i="8" s="1"/>
  <c r="AI23" i="1"/>
  <c r="AI27" i="1" s="1"/>
</calcChain>
</file>

<file path=xl/sharedStrings.xml><?xml version="1.0" encoding="utf-8"?>
<sst xmlns="http://schemas.openxmlformats.org/spreadsheetml/2006/main" count="217" uniqueCount="181">
  <si>
    <t>Dia</t>
  </si>
  <si>
    <t>Saldo Estoque</t>
  </si>
  <si>
    <t>Entradas</t>
  </si>
  <si>
    <t>Saídas</t>
  </si>
  <si>
    <t>Data Entrega</t>
  </si>
  <si>
    <t>Pedidos de Compra Fornecedor A</t>
  </si>
  <si>
    <t>Pedidos de Compra Fornecedor B</t>
  </si>
  <si>
    <t>Preço Unitário</t>
  </si>
  <si>
    <t>Preço Total</t>
  </si>
  <si>
    <t>Fornecedor B</t>
  </si>
  <si>
    <t>Resultado</t>
  </si>
  <si>
    <t>Saldo Estoque - Qtde</t>
  </si>
  <si>
    <t>Estoque</t>
  </si>
  <si>
    <t>Valor Total das Compras</t>
  </si>
  <si>
    <t>Valor Total das Vendas</t>
  </si>
  <si>
    <t>Saldo Financeiro</t>
  </si>
  <si>
    <t>Financeiro</t>
  </si>
  <si>
    <t>Valor Total do Estoque</t>
  </si>
  <si>
    <t>Valor Médio Unitário do Estoque</t>
  </si>
  <si>
    <t>Valor Total Fornecedor B</t>
  </si>
  <si>
    <t>Qtde. Itens Solicitados</t>
  </si>
  <si>
    <t>Qtde. Itens Atendidos</t>
  </si>
  <si>
    <t>% Falta</t>
  </si>
  <si>
    <t>Parametros do Item</t>
  </si>
  <si>
    <t>Média de Consumo Diário</t>
  </si>
  <si>
    <t>Desvio Padrão</t>
  </si>
  <si>
    <t>Intervalos</t>
  </si>
  <si>
    <t>Frequencia</t>
  </si>
  <si>
    <t>Freq. Rel.</t>
  </si>
  <si>
    <t>Freq. Itens</t>
  </si>
  <si>
    <t>Freq. Rel. Itens</t>
  </si>
  <si>
    <t>1 |--- 87,05</t>
  </si>
  <si>
    <t>87,05 |--- 173,1</t>
  </si>
  <si>
    <t>173,1 |--- 259,15</t>
  </si>
  <si>
    <t>259,15 |--- 345,2</t>
  </si>
  <si>
    <t>345,2 |--- 431,25</t>
  </si>
  <si>
    <t>431,25 |--- 517,3</t>
  </si>
  <si>
    <t>517,3 |--- 603,35</t>
  </si>
  <si>
    <t>603,35 |--- 689,4</t>
  </si>
  <si>
    <t>689,4 |--- 775,45</t>
  </si>
  <si>
    <t>775,45 |--- 861,5</t>
  </si>
  <si>
    <t>861,5 |--- 947,55</t>
  </si>
  <si>
    <t>947,55 |--- 1033,6</t>
  </si>
  <si>
    <t>1033,6 |--- 1119,65</t>
  </si>
  <si>
    <t>1119,65 |--- 1205,7</t>
  </si>
  <si>
    <t>1205,7 |--- 1291,75</t>
  </si>
  <si>
    <t>1291,75 |--- 1377,8</t>
  </si>
  <si>
    <t>1377,8 |--- 1463,85</t>
  </si>
  <si>
    <t>1463,85 |--- 1549,9</t>
  </si>
  <si>
    <t>1549,9 |--- 1635,95</t>
  </si>
  <si>
    <t>1635,95 |---| 1722</t>
  </si>
  <si>
    <t>Demanda Aleatória</t>
  </si>
  <si>
    <t>Saldo Médio de Estoque - R$</t>
  </si>
  <si>
    <t>Valor Total das Vendas - R$</t>
  </si>
  <si>
    <t>Giro de Estoque</t>
  </si>
  <si>
    <t>UN</t>
  </si>
  <si>
    <t>FR</t>
  </si>
  <si>
    <t>CX</t>
  </si>
  <si>
    <t>AMP</t>
  </si>
  <si>
    <t>Valor Total das Compras - R$</t>
  </si>
  <si>
    <t>Resultado da Operação - R$</t>
  </si>
  <si>
    <t>Pontuação:</t>
  </si>
  <si>
    <t xml:space="preserve">Ruptura </t>
  </si>
  <si>
    <t>Preço Unitário de Venda - R$</t>
  </si>
  <si>
    <t>LeadTime</t>
  </si>
  <si>
    <t>Coef. Variação</t>
  </si>
  <si>
    <t>Em Ruptura</t>
  </si>
  <si>
    <t>$E$98:$E99</t>
  </si>
  <si>
    <t>PRODUTO 1</t>
  </si>
  <si>
    <t>PRODUTO 2</t>
  </si>
  <si>
    <t>PRODUTO 3</t>
  </si>
  <si>
    <t>PRODUTO 4</t>
  </si>
  <si>
    <t>PRODUTO 5</t>
  </si>
  <si>
    <t>PRODUTO 6</t>
  </si>
  <si>
    <t>Multiplo</t>
  </si>
  <si>
    <t>Fornecedor A</t>
  </si>
  <si>
    <t>Menor Preço</t>
  </si>
  <si>
    <t>Prós</t>
  </si>
  <si>
    <t>Contras</t>
  </si>
  <si>
    <t>Fornecedor A (Lote Mínino Variável)</t>
  </si>
  <si>
    <t>Não há lote mínino</t>
  </si>
  <si>
    <t>Maior Lead Time</t>
  </si>
  <si>
    <t>Maior Preço</t>
  </si>
  <si>
    <t>Menor Lead Time</t>
  </si>
  <si>
    <t>Demanda 
Aleatória</t>
  </si>
  <si>
    <t>Exercício de Planejamento de Demanda vs Estoque</t>
  </si>
  <si>
    <t>Intervalo</t>
  </si>
  <si>
    <t>Int. Aleatório</t>
  </si>
  <si>
    <t>PROD. ALEAT</t>
  </si>
  <si>
    <t>DEMANDAS FIXAS PARA O CÁLCULO RANDÔMICO</t>
  </si>
  <si>
    <t>RESULTADOS</t>
  </si>
  <si>
    <t>Ajuste do grafico</t>
  </si>
  <si>
    <t>Vazio</t>
  </si>
  <si>
    <t>A borda</t>
  </si>
  <si>
    <t>Parte Rosca</t>
  </si>
  <si>
    <t>Nota inicial</t>
  </si>
  <si>
    <t>Nota final</t>
  </si>
  <si>
    <t>Res</t>
  </si>
  <si>
    <t>%</t>
  </si>
  <si>
    <t>Detalhe do Grafico</t>
  </si>
  <si>
    <t xml:space="preserve">Resultado </t>
  </si>
  <si>
    <t xml:space="preserve">% Stockout </t>
  </si>
  <si>
    <t>SLA</t>
  </si>
  <si>
    <t>Eq. Financ.</t>
  </si>
  <si>
    <t>Condição</t>
  </si>
  <si>
    <t>Extremidade</t>
  </si>
  <si>
    <t>Base</t>
  </si>
  <si>
    <t>Agulha</t>
  </si>
  <si>
    <t>Amplitude</t>
  </si>
  <si>
    <t>Mostrador</t>
  </si>
  <si>
    <t>Ótimo</t>
  </si>
  <si>
    <t>Bom</t>
  </si>
  <si>
    <t>Regular</t>
  </si>
  <si>
    <t>Ruim</t>
  </si>
  <si>
    <t>Máximo</t>
  </si>
  <si>
    <t>Categoria</t>
  </si>
  <si>
    <t>Giro estoque</t>
  </si>
  <si>
    <t>FORNEC. A</t>
  </si>
  <si>
    <t>FORNEC. B</t>
  </si>
  <si>
    <t>Parâmetro</t>
  </si>
  <si>
    <t>Nível de Serviço</t>
  </si>
  <si>
    <t>Ponto de Pedido</t>
  </si>
  <si>
    <t>Estoque de Segurança (ES)</t>
  </si>
  <si>
    <t>Constante (Z-ns)</t>
  </si>
  <si>
    <t>Lead Time (L)</t>
  </si>
  <si>
    <t>EXEMPLO 1: CÁLCULO ESTOQUE DE SEGURANÇA</t>
  </si>
  <si>
    <t>EXEMPLO 2: CÁLCULO ESTOQUE DE SEGURANÇA</t>
  </si>
  <si>
    <t>Mínimo</t>
  </si>
  <si>
    <t>Pass</t>
  </si>
  <si>
    <t>Área início</t>
  </si>
  <si>
    <t>Área fim</t>
  </si>
  <si>
    <t>Valor X</t>
  </si>
  <si>
    <t>f(X)</t>
  </si>
  <si>
    <t>Área Graf</t>
  </si>
  <si>
    <t>Graf Equilibrio Financeiro</t>
  </si>
  <si>
    <t>Câmera Dados</t>
  </si>
  <si>
    <t>Lista Nível de Serviço</t>
  </si>
  <si>
    <r>
      <t>Oculto (Σ</t>
    </r>
    <r>
      <rPr>
        <vertAlign val="subscript"/>
        <sz val="9"/>
        <color indexed="8"/>
        <rFont val="Calibri"/>
        <family val="2"/>
        <scheme val="minor"/>
      </rPr>
      <t>AMP</t>
    </r>
    <r>
      <rPr>
        <sz val="9"/>
        <color indexed="8"/>
        <rFont val="Calibri"/>
        <family val="2"/>
        <scheme val="minor"/>
      </rPr>
      <t>)</t>
    </r>
  </si>
  <si>
    <t>Demanda</t>
  </si>
  <si>
    <t>Graf Distr. Normal</t>
  </si>
  <si>
    <t>Minimo</t>
  </si>
  <si>
    <t>Probabilidade</t>
  </si>
  <si>
    <t>ESCOLHA O DESVIO PADRÃO</t>
  </si>
  <si>
    <t>nº desvios</t>
  </si>
  <si>
    <t>Área para seus cálculos</t>
  </si>
  <si>
    <t>Apoio para determinar parâmetros de estoque</t>
  </si>
  <si>
    <t>Demanda Média (d)</t>
  </si>
  <si>
    <t>Variação Lead Time (ΔL)</t>
  </si>
  <si>
    <t>Média</t>
  </si>
  <si>
    <t>DesvPad (+)</t>
  </si>
  <si>
    <t>DesvPad (-)</t>
  </si>
  <si>
    <t>Outliers</t>
  </si>
  <si>
    <t>(+)</t>
  </si>
  <si>
    <t>(-)</t>
  </si>
  <si>
    <t>Maior</t>
  </si>
  <si>
    <t>Menor</t>
  </si>
  <si>
    <t>Grafico Consumo Dia</t>
  </si>
  <si>
    <r>
      <t xml:space="preserve">Fornecedores: </t>
    </r>
    <r>
      <rPr>
        <b/>
        <i/>
        <sz val="12.6"/>
        <color theme="1"/>
        <rFont val="Calibri"/>
        <family val="2"/>
      </rPr>
      <t>Podem ser avaliados como Operador Logístico, Courrier, Transportador, etc.</t>
    </r>
  </si>
  <si>
    <t>Maior rentabilidade</t>
  </si>
  <si>
    <t>Menor rentabilidade</t>
  </si>
  <si>
    <t xml:space="preserve"> Lote mínimo de acordo com a demanda (Multíplos)</t>
  </si>
  <si>
    <r>
      <t xml:space="preserve">Parâmetros do item: </t>
    </r>
    <r>
      <rPr>
        <b/>
        <i/>
        <sz val="12"/>
        <color theme="1"/>
        <rFont val="Calibri"/>
        <family val="2"/>
      </rPr>
      <t>São alguns dados variáveis que você pode utilizar para estabelecer uma relação ou comparação</t>
    </r>
  </si>
  <si>
    <r>
      <rPr>
        <b/>
        <sz val="10.8"/>
        <color theme="1"/>
        <rFont val="Calibri"/>
        <family val="2"/>
      </rPr>
      <t>Lead Time:</t>
    </r>
    <r>
      <rPr>
        <sz val="12"/>
        <color theme="1"/>
        <rFont val="Calibri"/>
        <family val="2"/>
        <scheme val="minor"/>
      </rPr>
      <t xml:space="preserve"> Período de tempo entre o pedido do item e a entrada no estoque.</t>
    </r>
  </si>
  <si>
    <r>
      <rPr>
        <b/>
        <sz val="10.8"/>
        <color theme="1"/>
        <rFont val="Calibri"/>
        <family val="2"/>
      </rPr>
      <t>Desvio Padrão:</t>
    </r>
    <r>
      <rPr>
        <sz val="12"/>
        <color theme="1"/>
        <rFont val="Calibri"/>
        <family val="2"/>
        <scheme val="minor"/>
      </rPr>
      <t xml:space="preserve"> Indica uma medida de dispersão dos dados em torno de média amostral. </t>
    </r>
    <r>
      <rPr>
        <i/>
        <sz val="12"/>
        <color rgb="FF0070C0"/>
        <rFont val="Calibri"/>
        <family val="2"/>
        <scheme val="minor"/>
      </rPr>
      <t>Ex: Demanda de 1º dia 500, 2º dia 1.000, 3º dia 1500. Logo, média de 1.000 e desvio padrão de 500.</t>
    </r>
  </si>
  <si>
    <r>
      <rPr>
        <b/>
        <sz val="10.8"/>
        <color theme="1"/>
        <rFont val="Calibri"/>
        <family val="2"/>
      </rPr>
      <t>Dias de estoque</t>
    </r>
    <r>
      <rPr>
        <sz val="12"/>
        <color theme="1"/>
        <rFont val="Calibri"/>
        <family val="2"/>
        <scheme val="minor"/>
      </rPr>
      <t xml:space="preserve">: É a cobertura de estoque transformada em dias. </t>
    </r>
    <r>
      <rPr>
        <i/>
        <sz val="12"/>
        <color rgb="FF0070C0"/>
        <rFont val="Calibri"/>
        <family val="2"/>
        <scheme val="minor"/>
      </rPr>
      <t>Ex:Estoque de 10.000 unidades, média diária de 1.000, logo 10 dias de cobertura estoque.</t>
    </r>
  </si>
  <si>
    <r>
      <rPr>
        <b/>
        <sz val="10.8"/>
        <color theme="1"/>
        <rFont val="Calibri"/>
        <family val="2"/>
      </rPr>
      <t xml:space="preserve">Coef. Variação: </t>
    </r>
    <r>
      <rPr>
        <sz val="12"/>
        <color theme="1"/>
        <rFont val="Calibri"/>
        <family val="2"/>
        <scheme val="minor"/>
      </rPr>
      <t xml:space="preserve"> É o desvio padrão expresso como uma porcentagem média.</t>
    </r>
    <r>
      <rPr>
        <b/>
        <sz val="12"/>
        <color rgb="FF0070C0"/>
        <rFont val="Calibri"/>
        <family val="2"/>
        <scheme val="minor"/>
      </rPr>
      <t xml:space="preserve"> </t>
    </r>
    <r>
      <rPr>
        <i/>
        <sz val="12"/>
        <color rgb="FF0070C0"/>
        <rFont val="Calibri"/>
        <family val="2"/>
        <scheme val="minor"/>
      </rPr>
      <t>Ex: Média de 1.000 e Desvio Padrão de 500, logo coeficiente variação é 50%.</t>
    </r>
  </si>
  <si>
    <r>
      <rPr>
        <b/>
        <sz val="10.8"/>
        <color theme="1"/>
        <rFont val="Calibri"/>
        <family val="2"/>
      </rPr>
      <t>Estoque de segurança:</t>
    </r>
    <r>
      <rPr>
        <sz val="12"/>
        <color theme="1"/>
        <rFont val="Calibri"/>
        <family val="2"/>
        <scheme val="minor"/>
      </rPr>
      <t xml:space="preserve"> Nível de estoque suficiente para evitar faltas diante da variabilidade da demanda e a incerteza do ressuprimento. </t>
    </r>
    <r>
      <rPr>
        <i/>
        <sz val="12"/>
        <color rgb="FF0070C0"/>
        <rFont val="Calibri"/>
        <family val="2"/>
        <scheme val="minor"/>
      </rPr>
      <t>Ex: Cálculo na área de apoio.</t>
    </r>
  </si>
  <si>
    <r>
      <rPr>
        <b/>
        <sz val="10.8"/>
        <color theme="1"/>
        <rFont val="Calibri"/>
        <family val="2"/>
      </rPr>
      <t>Ponto de pedido</t>
    </r>
    <r>
      <rPr>
        <sz val="12"/>
        <color theme="1"/>
        <rFont val="Calibri"/>
        <family val="2"/>
        <scheme val="minor"/>
      </rPr>
      <t xml:space="preserve">: Quantidade delimitada para acionar o fornecedor e realizar uma nova solicitação de determinado produto. </t>
    </r>
    <r>
      <rPr>
        <i/>
        <sz val="12"/>
        <color rgb="FF0070C0"/>
        <rFont val="Calibri"/>
        <family val="2"/>
        <scheme val="minor"/>
      </rPr>
      <t>Ex: Cálculo na área de apoio.</t>
    </r>
  </si>
  <si>
    <r>
      <t>Ruptura de Estoque:</t>
    </r>
    <r>
      <rPr>
        <sz val="9.9"/>
        <color theme="1"/>
        <rFont val="Calibri"/>
        <family val="2"/>
      </rPr>
      <t xml:space="preserve"> É a soma da falta de estoque dividido pela demanda do período.</t>
    </r>
  </si>
  <si>
    <r>
      <t>Giro de Estoque:</t>
    </r>
    <r>
      <rPr>
        <sz val="9.9"/>
        <color theme="1"/>
        <rFont val="Calibri"/>
        <family val="2"/>
      </rPr>
      <t xml:space="preserve"> Valor de venda dividido pelo valor de compra. </t>
    </r>
  </si>
  <si>
    <r>
      <t xml:space="preserve">Equilíbrio Financeiro: </t>
    </r>
    <r>
      <rPr>
        <sz val="9.9"/>
        <color theme="1"/>
        <rFont val="Calibri"/>
        <family val="2"/>
      </rPr>
      <t xml:space="preserve">Lucro líquido pelo investimento (compra) apurado na operação. Equilíbrio entre aquisição, estoque e venda.  </t>
    </r>
  </si>
  <si>
    <r>
      <rPr>
        <b/>
        <sz val="9.9"/>
        <color theme="1"/>
        <rFont val="Calibri"/>
        <family val="2"/>
      </rPr>
      <t>Nível de Serviço de Atendimento:</t>
    </r>
    <r>
      <rPr>
        <sz val="11"/>
        <color theme="1"/>
        <rFont val="Calibri"/>
        <family val="2"/>
        <scheme val="minor"/>
      </rPr>
      <t xml:space="preserve"> Soma do solicitado dividido pelo atendimento. Não é acumulativo, atendeu, voltou a 100%.
</t>
    </r>
  </si>
  <si>
    <r>
      <t xml:space="preserve">Nota: </t>
    </r>
    <r>
      <rPr>
        <sz val="9.9"/>
        <color theme="1"/>
        <rFont val="Calibri"/>
        <family val="2"/>
      </rPr>
      <t>Média do equilíbrio financeiro e nível de atendimento menos a porcentagem de ruptura de estoque.</t>
    </r>
    <r>
      <rPr>
        <b/>
        <sz val="11"/>
        <color theme="1"/>
        <rFont val="Calibri"/>
        <family val="2"/>
        <scheme val="minor"/>
      </rPr>
      <t xml:space="preserve">
</t>
    </r>
  </si>
  <si>
    <t>Cobertura de estoque (dia)</t>
  </si>
  <si>
    <t>Pedidos pendentes (dia)</t>
  </si>
  <si>
    <t>Resultados</t>
  </si>
  <si>
    <r>
      <t>Desvio Padrão (</t>
    </r>
    <r>
      <rPr>
        <sz val="16"/>
        <color theme="1"/>
        <rFont val="Arial"/>
        <family val="2"/>
      </rPr>
      <t>σ</t>
    </r>
    <r>
      <rPr>
        <sz val="16"/>
        <color theme="1"/>
        <rFont val="Calibri"/>
        <family val="2"/>
        <scheme val="minor"/>
      </rPr>
      <t>)</t>
    </r>
  </si>
  <si>
    <t>Valor Total Fornecedor A</t>
  </si>
  <si>
    <r>
      <rPr>
        <i/>
        <sz val="12"/>
        <color rgb="FFC00000"/>
        <rFont val="Calibri"/>
        <family val="2"/>
      </rPr>
      <t>Dica:</t>
    </r>
    <r>
      <rPr>
        <i/>
        <sz val="12"/>
        <color rgb="FFC00000"/>
        <rFont val="Calibri"/>
        <family val="2"/>
        <scheme val="minor"/>
      </rPr>
      <t xml:space="preserve"> Avalie seu estoque de segurança, cobertura de estoque e a demanda antes de escolher o fornecedor. Seu preço médio de venda é menor que o custo de compra Fornecedor B.</t>
    </r>
  </si>
  <si>
    <r>
      <rPr>
        <i/>
        <sz val="12"/>
        <color rgb="FFC00000"/>
        <rFont val="Calibri"/>
        <family val="2"/>
      </rPr>
      <t>Dica:</t>
    </r>
    <r>
      <rPr>
        <i/>
        <sz val="12"/>
        <color rgb="FFC00000"/>
        <rFont val="Calibri"/>
        <family val="2"/>
        <scheme val="minor"/>
      </rPr>
      <t xml:space="preserve"> A equipe Comercial informou que as vendas só iniciarão a partir do dia 07. Prepare-se.</t>
    </r>
  </si>
  <si>
    <r>
      <rPr>
        <b/>
        <sz val="10.8"/>
        <color theme="1"/>
        <rFont val="Calibri"/>
        <family val="2"/>
      </rPr>
      <t>Média de consumo diário:</t>
    </r>
    <r>
      <rPr>
        <sz val="12"/>
        <color theme="1"/>
        <rFont val="Calibri"/>
        <family val="2"/>
        <scheme val="minor"/>
      </rPr>
      <t xml:space="preserve"> Amostral de 60 dias e cada item (rodada) tem o seu.  </t>
    </r>
    <r>
      <rPr>
        <i/>
        <sz val="12"/>
        <color rgb="FF0070C0"/>
        <rFont val="Calibri"/>
        <family val="2"/>
        <scheme val="minor"/>
      </rPr>
      <t>Ex: Demanda de 1º dia 500, 2º dia 1.000, 3º dia 1500. Logo, média de 1.000.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</si>
</sst>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#,##0.00_);[Red]\-#,##0.00"/>
    <numFmt numFmtId="165" formatCode="#,##0;[Red]#,##0"/>
    <numFmt numFmtId="166" formatCode="0.0%"/>
    <numFmt numFmtId="167" formatCode="#,##0_);[Red]\-#,##0"/>
    <numFmt numFmtId="168" formatCode="#,##0.0%;[Red]\-#,##0.0%"/>
    <numFmt numFmtId="169" formatCode="#,##0.0"/>
    <numFmt numFmtId="170" formatCode="0.0"/>
    <numFmt numFmtId="171" formatCode="#,##0_ ;[Red]\-#,##0\ "/>
    <numFmt numFmtId="172" formatCode="#,##0.00_ ;[Red]\-#,##0.00\ "/>
    <numFmt numFmtId="173" formatCode="_(* #,##0.00_);_(* \(#,##0.00\);_(* &quot;-&quot;??_);_(@_)"/>
    <numFmt numFmtId="174" formatCode="_(* #,##0.0000_);_(* \(#,##0.0000\);_(* &quot;-&quot;??_);_(@_)"/>
    <numFmt numFmtId="175" formatCode="_(* #,##0.00_);_(* \(#,##0.00\);_(* &quot;-&quot;?_);_(@_)"/>
    <numFmt numFmtId="176" formatCode="_(* #,##0.0_);_(* \(#,##0.0\);_(* &quot;-&quot;?_);_(@_)"/>
    <numFmt numFmtId="177" formatCode="0.000"/>
    <numFmt numFmtId="178" formatCode="0.0E+00"/>
  </numFmts>
  <fonts count="5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4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1"/>
      <name val="Segoe UI Black"/>
      <family val="2"/>
    </font>
    <font>
      <b/>
      <sz val="26"/>
      <color theme="1"/>
      <name val="Segoe UI Black"/>
      <family val="2"/>
    </font>
    <font>
      <b/>
      <sz val="26"/>
      <color theme="0"/>
      <name val="Segoe UI Black"/>
      <family val="2"/>
    </font>
    <font>
      <sz val="10"/>
      <name val="Arial"/>
      <family val="2"/>
    </font>
    <font>
      <sz val="10"/>
      <color indexed="8"/>
      <name val="Trebuchet MS"/>
      <family val="2"/>
    </font>
    <font>
      <sz val="22"/>
      <color theme="4" tint="-0.499984740745262"/>
      <name val="Segoe UI Black"/>
      <family val="2"/>
    </font>
    <font>
      <sz val="9"/>
      <color indexed="8"/>
      <name val="Calibri"/>
      <family val="2"/>
      <scheme val="minor"/>
    </font>
    <font>
      <vertAlign val="subscript"/>
      <sz val="9"/>
      <color indexed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Segoe UI Black"/>
      <family val="2"/>
    </font>
    <font>
      <b/>
      <sz val="20"/>
      <name val="Segoe UI Black"/>
      <family val="2"/>
    </font>
    <font>
      <b/>
      <sz val="11"/>
      <color theme="1"/>
      <name val="Calibri"/>
      <family val="2"/>
      <scheme val="minor"/>
    </font>
    <font>
      <b/>
      <i/>
      <sz val="12.6"/>
      <color theme="1"/>
      <name val="Calibri"/>
      <family val="2"/>
    </font>
    <font>
      <i/>
      <sz val="12"/>
      <color theme="1"/>
      <name val="Calibri"/>
      <family val="2"/>
      <scheme val="minor"/>
    </font>
    <font>
      <i/>
      <sz val="12"/>
      <color rgb="FFC00000"/>
      <name val="Calibri"/>
      <family val="2"/>
      <scheme val="minor"/>
    </font>
    <font>
      <b/>
      <i/>
      <sz val="12"/>
      <color theme="1"/>
      <name val="Calibri"/>
      <family val="2"/>
    </font>
    <font>
      <b/>
      <sz val="10.8"/>
      <color theme="1"/>
      <name val="Calibri"/>
      <family val="2"/>
    </font>
    <font>
      <i/>
      <sz val="12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9.9"/>
      <color theme="1"/>
      <name val="Calibri"/>
      <family val="2"/>
    </font>
    <font>
      <b/>
      <sz val="9.9"/>
      <color theme="1"/>
      <name val="Calibri"/>
      <family val="2"/>
    </font>
    <font>
      <sz val="16"/>
      <color theme="1"/>
      <name val="Calibri"/>
      <family val="2"/>
      <scheme val="minor"/>
    </font>
    <font>
      <sz val="16"/>
      <color theme="1"/>
      <name val="Arial"/>
      <family val="2"/>
    </font>
    <font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2"/>
      <color rgb="FFC00000"/>
      <name val="Calibri"/>
      <family val="2"/>
    </font>
    <font>
      <b/>
      <sz val="16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8B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FF0000"/>
      </left>
      <right style="medium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141">
    <xf numFmtId="0" fontId="0" fillId="0" borderId="0"/>
    <xf numFmtId="9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0" fontId="25" fillId="0" borderId="0"/>
  </cellStyleXfs>
  <cellXfs count="348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4" fontId="0" fillId="0" borderId="0" xfId="0" applyNumberFormat="1" applyAlignment="1">
      <alignment vertical="center" wrapText="1"/>
    </xf>
    <xf numFmtId="4" fontId="0" fillId="0" borderId="0" xfId="0" applyNumberFormat="1" applyAlignment="1">
      <alignment horizontal="center" vertical="center" wrapText="1"/>
    </xf>
    <xf numFmtId="3" fontId="0" fillId="3" borderId="0" xfId="0" applyNumberForma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167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3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4" fontId="5" fillId="0" borderId="0" xfId="0" applyNumberFormat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3" fontId="0" fillId="0" borderId="0" xfId="0" applyNumberFormat="1" applyBorder="1" applyAlignment="1">
      <alignment horizontal="center" vertical="center" wrapText="1"/>
    </xf>
    <xf numFmtId="4" fontId="0" fillId="0" borderId="0" xfId="0" applyNumberForma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3" fontId="9" fillId="0" borderId="0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3" fontId="1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5" fillId="0" borderId="0" xfId="0" applyFont="1"/>
    <xf numFmtId="4" fontId="14" fillId="0" borderId="0" xfId="0" applyNumberFormat="1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9" fontId="0" fillId="0" borderId="0" xfId="1" applyFont="1" applyBorder="1" applyAlignment="1">
      <alignment horizontal="center" vertical="center" wrapText="1"/>
    </xf>
    <xf numFmtId="166" fontId="0" fillId="0" borderId="0" xfId="0" applyNumberFormat="1" applyBorder="1" applyAlignment="1">
      <alignment vertical="center" wrapText="1"/>
    </xf>
    <xf numFmtId="166" fontId="0" fillId="0" borderId="0" xfId="1" applyNumberFormat="1" applyFont="1" applyBorder="1" applyAlignment="1">
      <alignment horizontal="center" vertical="center" wrapText="1"/>
    </xf>
    <xf numFmtId="9" fontId="0" fillId="0" borderId="0" xfId="1" applyFont="1" applyAlignment="1">
      <alignment vertical="center" wrapText="1"/>
    </xf>
    <xf numFmtId="3" fontId="0" fillId="0" borderId="0" xfId="0" applyNumberFormat="1" applyAlignment="1">
      <alignment vertical="center" wrapText="1"/>
    </xf>
    <xf numFmtId="164" fontId="14" fillId="0" borderId="0" xfId="0" applyNumberFormat="1" applyFont="1" applyAlignment="1">
      <alignment vertical="center" wrapText="1"/>
    </xf>
    <xf numFmtId="9" fontId="14" fillId="0" borderId="0" xfId="1" applyFont="1" applyAlignment="1">
      <alignment vertical="center" wrapText="1"/>
    </xf>
    <xf numFmtId="0" fontId="12" fillId="0" borderId="0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3" fontId="12" fillId="0" borderId="8" xfId="0" applyNumberFormat="1" applyFont="1" applyBorder="1" applyAlignment="1">
      <alignment horizontal="center"/>
    </xf>
    <xf numFmtId="3" fontId="12" fillId="0" borderId="0" xfId="0" applyNumberFormat="1" applyFont="1" applyBorder="1" applyAlignment="1">
      <alignment horizontal="center"/>
    </xf>
    <xf numFmtId="3" fontId="12" fillId="0" borderId="9" xfId="0" applyNumberFormat="1" applyFont="1" applyBorder="1" applyAlignment="1">
      <alignment horizontal="center"/>
    </xf>
    <xf numFmtId="3" fontId="12" fillId="0" borderId="6" xfId="0" applyNumberFormat="1" applyFont="1" applyBorder="1" applyAlignment="1">
      <alignment horizontal="center"/>
    </xf>
    <xf numFmtId="3" fontId="12" fillId="0" borderId="3" xfId="0" applyNumberFormat="1" applyFont="1" applyBorder="1" applyAlignment="1">
      <alignment horizontal="center"/>
    </xf>
    <xf numFmtId="3" fontId="12" fillId="0" borderId="7" xfId="0" applyNumberFormat="1" applyFont="1" applyBorder="1" applyAlignment="1">
      <alignment horizontal="center"/>
    </xf>
    <xf numFmtId="0" fontId="12" fillId="0" borderId="4" xfId="84" applyFont="1" applyFill="1" applyBorder="1" applyAlignment="1">
      <alignment horizontal="center"/>
    </xf>
    <xf numFmtId="0" fontId="12" fillId="0" borderId="5" xfId="84" applyFont="1" applyFill="1" applyBorder="1" applyAlignment="1">
      <alignment horizontal="center"/>
    </xf>
    <xf numFmtId="1" fontId="12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8" xfId="84" applyFont="1" applyBorder="1" applyAlignment="1">
      <alignment horizontal="center"/>
    </xf>
    <xf numFmtId="0" fontId="17" fillId="0" borderId="0" xfId="84" applyFont="1" applyBorder="1" applyAlignment="1">
      <alignment horizontal="center"/>
    </xf>
    <xf numFmtId="0" fontId="17" fillId="0" borderId="9" xfId="84" applyFont="1" applyBorder="1" applyAlignment="1">
      <alignment horizontal="center"/>
    </xf>
    <xf numFmtId="0" fontId="17" fillId="0" borderId="6" xfId="84" applyFont="1" applyBorder="1" applyAlignment="1">
      <alignment horizontal="center"/>
    </xf>
    <xf numFmtId="0" fontId="17" fillId="0" borderId="3" xfId="84" applyFont="1" applyBorder="1" applyAlignment="1">
      <alignment horizontal="center"/>
    </xf>
    <xf numFmtId="0" fontId="17" fillId="0" borderId="7" xfId="84" applyFont="1" applyBorder="1" applyAlignment="1">
      <alignment horizontal="center"/>
    </xf>
    <xf numFmtId="0" fontId="17" fillId="5" borderId="0" xfId="0" applyFont="1" applyFill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3" xfId="84" applyFont="1" applyFill="1" applyBorder="1" applyAlignment="1">
      <alignment horizontal="center"/>
    </xf>
    <xf numFmtId="0" fontId="17" fillId="0" borderId="7" xfId="84" applyFont="1" applyFill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3" fontId="12" fillId="0" borderId="11" xfId="0" applyNumberFormat="1" applyFont="1" applyBorder="1" applyAlignment="1">
      <alignment horizontal="center"/>
    </xf>
    <xf numFmtId="3" fontId="17" fillId="7" borderId="2" xfId="0" applyNumberFormat="1" applyFont="1" applyFill="1" applyBorder="1" applyAlignment="1">
      <alignment horizontal="center"/>
    </xf>
    <xf numFmtId="3" fontId="17" fillId="0" borderId="2" xfId="0" applyNumberFormat="1" applyFont="1" applyBorder="1" applyAlignment="1">
      <alignment horizontal="center"/>
    </xf>
    <xf numFmtId="3" fontId="17" fillId="0" borderId="10" xfId="0" applyNumberFormat="1" applyFont="1" applyBorder="1" applyAlignment="1">
      <alignment horizontal="center"/>
    </xf>
    <xf numFmtId="3" fontId="17" fillId="7" borderId="0" xfId="0" applyNumberFormat="1" applyFont="1" applyFill="1" applyBorder="1" applyAlignment="1">
      <alignment horizontal="center"/>
    </xf>
    <xf numFmtId="3" fontId="17" fillId="0" borderId="0" xfId="0" applyNumberFormat="1" applyFont="1" applyBorder="1" applyAlignment="1">
      <alignment horizontal="center"/>
    </xf>
    <xf numFmtId="3" fontId="17" fillId="0" borderId="9" xfId="0" applyNumberFormat="1" applyFont="1" applyBorder="1" applyAlignment="1">
      <alignment horizontal="center"/>
    </xf>
    <xf numFmtId="3" fontId="17" fillId="7" borderId="3" xfId="0" applyNumberFormat="1" applyFont="1" applyFill="1" applyBorder="1" applyAlignment="1">
      <alignment horizontal="center"/>
    </xf>
    <xf numFmtId="3" fontId="17" fillId="0" borderId="3" xfId="0" applyNumberFormat="1" applyFont="1" applyBorder="1" applyAlignment="1">
      <alignment horizontal="center"/>
    </xf>
    <xf numFmtId="3" fontId="17" fillId="0" borderId="7" xfId="0" applyNumberFormat="1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2" fillId="0" borderId="0" xfId="139"/>
    <xf numFmtId="4" fontId="0" fillId="0" borderId="0" xfId="0" applyNumberFormat="1" applyFont="1" applyBorder="1" applyAlignment="1">
      <alignment vertical="center"/>
    </xf>
    <xf numFmtId="4" fontId="0" fillId="0" borderId="0" xfId="0" applyNumberFormat="1" applyFont="1" applyBorder="1" applyAlignment="1">
      <alignment horizontal="left" vertical="center"/>
    </xf>
    <xf numFmtId="0" fontId="0" fillId="0" borderId="0" xfId="0" applyFont="1" applyAlignment="1">
      <alignment vertical="center" wrapText="1"/>
    </xf>
    <xf numFmtId="0" fontId="12" fillId="0" borderId="12" xfId="139" applyFont="1" applyFill="1" applyBorder="1"/>
    <xf numFmtId="166" fontId="19" fillId="9" borderId="12" xfId="139" applyNumberFormat="1" applyFont="1" applyFill="1" applyBorder="1"/>
    <xf numFmtId="0" fontId="12" fillId="0" borderId="12" xfId="139" applyFont="1" applyBorder="1" applyAlignment="1">
      <alignment horizontal="center" vertical="center"/>
    </xf>
    <xf numFmtId="0" fontId="12" fillId="0" borderId="12" xfId="139" applyFont="1" applyBorder="1"/>
    <xf numFmtId="2" fontId="12" fillId="0" borderId="12" xfId="139" applyNumberFormat="1" applyFont="1" applyBorder="1" applyAlignment="1">
      <alignment horizontal="center" vertical="center"/>
    </xf>
    <xf numFmtId="2" fontId="12" fillId="0" borderId="12" xfId="139" applyNumberFormat="1" applyFont="1" applyBorder="1"/>
    <xf numFmtId="170" fontId="12" fillId="0" borderId="12" xfId="139" applyNumberFormat="1" applyFont="1" applyBorder="1"/>
    <xf numFmtId="3" fontId="0" fillId="0" borderId="25" xfId="0" applyNumberFormat="1" applyBorder="1" applyAlignment="1">
      <alignment horizontal="center" vertical="center" wrapText="1"/>
    </xf>
    <xf numFmtId="3" fontId="0" fillId="0" borderId="26" xfId="0" applyNumberFormat="1" applyBorder="1" applyAlignment="1">
      <alignment horizontal="center" vertical="center" wrapText="1"/>
    </xf>
    <xf numFmtId="169" fontId="0" fillId="0" borderId="26" xfId="0" applyNumberFormat="1" applyBorder="1" applyAlignment="1">
      <alignment horizontal="center" vertical="center" wrapText="1"/>
    </xf>
    <xf numFmtId="166" fontId="0" fillId="0" borderId="26" xfId="1" applyNumberFormat="1" applyFont="1" applyFill="1" applyBorder="1" applyAlignment="1">
      <alignment horizontal="center" vertical="center" wrapText="1"/>
    </xf>
    <xf numFmtId="9" fontId="0" fillId="0" borderId="26" xfId="1" applyFont="1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vertical="center" wrapText="1"/>
    </xf>
    <xf numFmtId="3" fontId="0" fillId="0" borderId="15" xfId="0" applyNumberForma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3" fontId="0" fillId="0" borderId="0" xfId="0" quotePrefix="1" applyNumberFormat="1" applyBorder="1" applyAlignment="1">
      <alignment horizontal="center" vertical="center" wrapText="1"/>
    </xf>
    <xf numFmtId="3" fontId="0" fillId="0" borderId="22" xfId="0" applyNumberFormat="1" applyBorder="1" applyAlignment="1">
      <alignment horizontal="center" vertical="center" wrapText="1"/>
    </xf>
    <xf numFmtId="3" fontId="0" fillId="0" borderId="23" xfId="0" applyNumberFormat="1" applyBorder="1" applyAlignment="1">
      <alignment horizontal="center" vertical="center" wrapText="1"/>
    </xf>
    <xf numFmtId="4" fontId="0" fillId="0" borderId="23" xfId="0" applyNumberFormat="1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vertical="center" wrapText="1"/>
    </xf>
    <xf numFmtId="4" fontId="13" fillId="4" borderId="29" xfId="0" applyNumberFormat="1" applyFont="1" applyFill="1" applyBorder="1" applyAlignment="1">
      <alignment vertical="center" wrapText="1"/>
    </xf>
    <xf numFmtId="0" fontId="13" fillId="4" borderId="29" xfId="0" applyFont="1" applyFill="1" applyBorder="1" applyAlignment="1">
      <alignment vertical="center" wrapText="1"/>
    </xf>
    <xf numFmtId="0" fontId="13" fillId="4" borderId="29" xfId="0" applyFont="1" applyFill="1" applyBorder="1" applyAlignment="1">
      <alignment horizontal="center" vertical="center" wrapText="1"/>
    </xf>
    <xf numFmtId="0" fontId="13" fillId="4" borderId="30" xfId="0" applyFont="1" applyFill="1" applyBorder="1" applyAlignment="1">
      <alignment vertical="center" wrapText="1"/>
    </xf>
    <xf numFmtId="0" fontId="20" fillId="0" borderId="0" xfId="139" applyFont="1"/>
    <xf numFmtId="166" fontId="0" fillId="0" borderId="0" xfId="0" applyNumberFormat="1" applyAlignment="1">
      <alignment vertical="center" wrapText="1"/>
    </xf>
    <xf numFmtId="4" fontId="8" fillId="0" borderId="0" xfId="0" applyNumberFormat="1" applyFont="1" applyBorder="1" applyAlignment="1">
      <alignment vertical="center"/>
    </xf>
    <xf numFmtId="170" fontId="23" fillId="3" borderId="0" xfId="1" applyNumberFormat="1" applyFont="1" applyFill="1" applyBorder="1" applyAlignment="1">
      <alignment horizontal="center" vertical="center" wrapText="1"/>
    </xf>
    <xf numFmtId="168" fontId="22" fillId="3" borderId="0" xfId="0" applyNumberFormat="1" applyFont="1" applyFill="1" applyBorder="1" applyAlignment="1">
      <alignment horizontal="center" vertical="center" wrapText="1"/>
    </xf>
    <xf numFmtId="9" fontId="2" fillId="0" borderId="0" xfId="139" applyNumberFormat="1"/>
    <xf numFmtId="0" fontId="2" fillId="0" borderId="0" xfId="139" applyAlignment="1">
      <alignment horizontal="center"/>
    </xf>
    <xf numFmtId="0" fontId="26" fillId="11" borderId="0" xfId="140" applyFont="1" applyFill="1" applyAlignment="1">
      <alignment horizontal="left" vertical="center"/>
    </xf>
    <xf numFmtId="0" fontId="5" fillId="0" borderId="0" xfId="0" applyFont="1" applyBorder="1" applyAlignment="1">
      <alignment vertical="center" wrapText="1"/>
    </xf>
    <xf numFmtId="0" fontId="24" fillId="4" borderId="28" xfId="0" applyFont="1" applyFill="1" applyBorder="1" applyAlignment="1">
      <alignment vertical="center"/>
    </xf>
    <xf numFmtId="0" fontId="24" fillId="4" borderId="29" xfId="0" applyFont="1" applyFill="1" applyBorder="1" applyAlignment="1">
      <alignment vertical="center"/>
    </xf>
    <xf numFmtId="0" fontId="0" fillId="0" borderId="13" xfId="0" applyFont="1" applyFill="1" applyBorder="1" applyAlignment="1">
      <alignment vertical="center" wrapText="1"/>
    </xf>
    <xf numFmtId="0" fontId="2" fillId="0" borderId="37" xfId="139" applyBorder="1" applyAlignment="1">
      <alignment horizontal="center"/>
    </xf>
    <xf numFmtId="171" fontId="2" fillId="0" borderId="37" xfId="139" applyNumberFormat="1" applyBorder="1"/>
    <xf numFmtId="172" fontId="2" fillId="0" borderId="37" xfId="139" applyNumberFormat="1" applyBorder="1" applyAlignment="1">
      <alignment horizontal="center"/>
    </xf>
    <xf numFmtId="0" fontId="2" fillId="8" borderId="37" xfId="139" applyFill="1" applyBorder="1"/>
    <xf numFmtId="0" fontId="4" fillId="8" borderId="37" xfId="139" applyFont="1" applyFill="1" applyBorder="1"/>
    <xf numFmtId="0" fontId="4" fillId="8" borderId="0" xfId="139" applyFont="1" applyFill="1"/>
    <xf numFmtId="0" fontId="2" fillId="8" borderId="0" xfId="139" applyFill="1"/>
    <xf numFmtId="0" fontId="28" fillId="11" borderId="0" xfId="140" applyFont="1" applyFill="1" applyAlignment="1">
      <alignment horizontal="center" vertical="center"/>
    </xf>
    <xf numFmtId="0" fontId="30" fillId="0" borderId="37" xfId="140" applyFont="1" applyFill="1" applyBorder="1" applyAlignment="1">
      <alignment horizontal="left" vertical="center"/>
    </xf>
    <xf numFmtId="175" fontId="27" fillId="0" borderId="37" xfId="140" applyNumberFormat="1" applyFont="1" applyFill="1" applyBorder="1" applyAlignment="1">
      <alignment horizontal="center" vertical="center"/>
    </xf>
    <xf numFmtId="0" fontId="28" fillId="0" borderId="37" xfId="140" applyFont="1" applyFill="1" applyBorder="1" applyAlignment="1">
      <alignment horizontal="center" vertical="center"/>
    </xf>
    <xf numFmtId="173" fontId="28" fillId="0" borderId="37" xfId="140" applyNumberFormat="1" applyFont="1" applyFill="1" applyBorder="1" applyAlignment="1">
      <alignment horizontal="center" vertical="center"/>
    </xf>
    <xf numFmtId="174" fontId="28" fillId="0" borderId="37" xfId="140" applyNumberFormat="1" applyFont="1" applyFill="1" applyBorder="1" applyAlignment="1">
      <alignment horizontal="center" vertical="center"/>
    </xf>
    <xf numFmtId="176" fontId="30" fillId="0" borderId="37" xfId="140" applyNumberFormat="1" applyFont="1" applyFill="1" applyBorder="1" applyAlignment="1">
      <alignment horizontal="center" vertical="center"/>
    </xf>
    <xf numFmtId="175" fontId="30" fillId="0" borderId="37" xfId="140" applyNumberFormat="1" applyFont="1" applyFill="1" applyBorder="1" applyAlignment="1">
      <alignment horizontal="center" vertical="center"/>
    </xf>
    <xf numFmtId="4" fontId="28" fillId="0" borderId="37" xfId="140" applyNumberFormat="1" applyFont="1" applyFill="1" applyBorder="1" applyAlignment="1">
      <alignment horizontal="center" vertical="center"/>
    </xf>
    <xf numFmtId="0" fontId="4" fillId="8" borderId="37" xfId="139" applyFont="1" applyFill="1" applyBorder="1" applyAlignment="1">
      <alignment horizontal="center" wrapText="1"/>
    </xf>
    <xf numFmtId="9" fontId="9" fillId="0" borderId="37" xfId="139" applyNumberFormat="1" applyFont="1" applyBorder="1" applyAlignment="1">
      <alignment horizontal="center"/>
    </xf>
    <xf numFmtId="0" fontId="0" fillId="0" borderId="37" xfId="0" applyBorder="1" applyAlignment="1">
      <alignment vertical="center"/>
    </xf>
    <xf numFmtId="3" fontId="0" fillId="0" borderId="37" xfId="0" applyNumberFormat="1" applyBorder="1" applyAlignment="1">
      <alignment horizontal="center" vertical="center" wrapText="1"/>
    </xf>
    <xf numFmtId="0" fontId="0" fillId="0" borderId="37" xfId="0" applyBorder="1" applyAlignment="1">
      <alignment vertical="center" wrapText="1"/>
    </xf>
    <xf numFmtId="0" fontId="0" fillId="0" borderId="37" xfId="0" applyBorder="1" applyAlignment="1">
      <alignment horizontal="center" vertical="center" wrapText="1"/>
    </xf>
    <xf numFmtId="178" fontId="0" fillId="0" borderId="37" xfId="0" applyNumberFormat="1" applyBorder="1" applyAlignment="1">
      <alignment horizontal="center" vertical="center" wrapText="1"/>
    </xf>
    <xf numFmtId="0" fontId="0" fillId="8" borderId="37" xfId="0" applyFill="1" applyBorder="1" applyAlignment="1">
      <alignment horizontal="center" vertical="center" wrapText="1"/>
    </xf>
    <xf numFmtId="0" fontId="4" fillId="8" borderId="0" xfId="139" applyFont="1" applyFill="1" applyAlignment="1">
      <alignment horizontal="left"/>
    </xf>
    <xf numFmtId="0" fontId="24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 wrapText="1"/>
    </xf>
    <xf numFmtId="0" fontId="31" fillId="0" borderId="0" xfId="0" applyFont="1" applyAlignment="1">
      <alignment horizontal="center" vertical="center" wrapText="1"/>
    </xf>
    <xf numFmtId="0" fontId="0" fillId="0" borderId="15" xfId="0" applyBorder="1" applyAlignment="1">
      <alignment vertical="center" wrapText="1"/>
    </xf>
    <xf numFmtId="3" fontId="0" fillId="0" borderId="0" xfId="0" applyNumberFormat="1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16" borderId="0" xfId="0" applyFill="1" applyBorder="1" applyAlignment="1">
      <alignment vertical="center" wrapText="1"/>
    </xf>
    <xf numFmtId="0" fontId="33" fillId="15" borderId="28" xfId="0" applyFont="1" applyFill="1" applyBorder="1" applyAlignment="1">
      <alignment vertical="center"/>
    </xf>
    <xf numFmtId="0" fontId="24" fillId="15" borderId="29" xfId="0" applyFont="1" applyFill="1" applyBorder="1" applyAlignment="1">
      <alignment vertical="center"/>
    </xf>
    <xf numFmtId="0" fontId="24" fillId="15" borderId="30" xfId="0" applyFont="1" applyFill="1" applyBorder="1" applyAlignment="1">
      <alignment vertical="center"/>
    </xf>
    <xf numFmtId="3" fontId="2" fillId="0" borderId="0" xfId="139" applyNumberFormat="1" applyAlignment="1">
      <alignment horizontal="center"/>
    </xf>
    <xf numFmtId="0" fontId="32" fillId="15" borderId="25" xfId="0" applyFont="1" applyFill="1" applyBorder="1" applyAlignment="1">
      <alignment vertical="center"/>
    </xf>
    <xf numFmtId="0" fontId="24" fillId="15" borderId="26" xfId="0" applyFont="1" applyFill="1" applyBorder="1" applyAlignment="1">
      <alignment vertical="center"/>
    </xf>
    <xf numFmtId="0" fontId="24" fillId="15" borderId="27" xfId="0" applyFont="1" applyFill="1" applyBorder="1" applyAlignment="1">
      <alignment vertical="center"/>
    </xf>
    <xf numFmtId="0" fontId="0" fillId="0" borderId="39" xfId="0" applyFont="1" applyFill="1" applyBorder="1" applyAlignment="1">
      <alignment vertical="center" wrapText="1"/>
    </xf>
    <xf numFmtId="0" fontId="0" fillId="0" borderId="15" xfId="0" applyBorder="1" applyAlignment="1">
      <alignment vertical="center"/>
    </xf>
    <xf numFmtId="0" fontId="2" fillId="17" borderId="0" xfId="139" applyFill="1"/>
    <xf numFmtId="0" fontId="34" fillId="17" borderId="0" xfId="139" applyFont="1" applyFill="1"/>
    <xf numFmtId="0" fontId="12" fillId="0" borderId="0" xfId="0" applyFont="1"/>
    <xf numFmtId="3" fontId="0" fillId="0" borderId="0" xfId="1" applyNumberFormat="1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34" fillId="0" borderId="0" xfId="0" applyFont="1"/>
    <xf numFmtId="0" fontId="34" fillId="0" borderId="0" xfId="0" applyFont="1" applyAlignment="1">
      <alignment horizontal="left" vertical="top"/>
    </xf>
    <xf numFmtId="0" fontId="5" fillId="0" borderId="0" xfId="0" applyFont="1" applyAlignment="1" applyProtection="1">
      <alignment vertical="center" wrapText="1"/>
      <protection locked="0"/>
    </xf>
    <xf numFmtId="0" fontId="4" fillId="0" borderId="15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 applyProtection="1">
      <alignment horizontal="center" vertical="center" wrapText="1"/>
      <protection locked="0"/>
    </xf>
    <xf numFmtId="0" fontId="0" fillId="0" borderId="15" xfId="0" applyBorder="1" applyAlignment="1" applyProtection="1">
      <alignment vertical="center" wrapText="1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23" xfId="0" applyBorder="1" applyAlignment="1" applyProtection="1">
      <alignment vertical="center" wrapText="1"/>
      <protection locked="0"/>
    </xf>
    <xf numFmtId="0" fontId="0" fillId="0" borderId="24" xfId="0" applyBorder="1" applyAlignment="1" applyProtection="1">
      <alignment vertical="center" wrapText="1"/>
      <protection locked="0"/>
    </xf>
    <xf numFmtId="0" fontId="8" fillId="0" borderId="40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3" fontId="14" fillId="0" borderId="0" xfId="0" applyNumberFormat="1" applyFont="1" applyAlignment="1" applyProtection="1">
      <alignment horizontal="center" vertical="center" wrapText="1"/>
      <protection locked="0"/>
    </xf>
    <xf numFmtId="0" fontId="4" fillId="18" borderId="41" xfId="0" applyFont="1" applyFill="1" applyBorder="1" applyAlignment="1">
      <alignment horizontal="center"/>
    </xf>
    <xf numFmtId="0" fontId="4" fillId="18" borderId="10" xfId="0" applyFont="1" applyFill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9" fillId="0" borderId="0" xfId="0" applyFont="1" applyBorder="1" applyAlignment="1">
      <alignment vertical="center" wrapText="1"/>
    </xf>
    <xf numFmtId="0" fontId="44" fillId="0" borderId="38" xfId="0" applyFont="1" applyFill="1" applyBorder="1" applyAlignment="1">
      <alignment vertical="center"/>
    </xf>
    <xf numFmtId="0" fontId="44" fillId="0" borderId="13" xfId="0" applyFont="1" applyFill="1" applyBorder="1" applyAlignment="1">
      <alignment vertical="center"/>
    </xf>
    <xf numFmtId="0" fontId="8" fillId="2" borderId="44" xfId="0" applyFont="1" applyFill="1" applyBorder="1" applyAlignment="1">
      <alignment horizontal="left"/>
    </xf>
    <xf numFmtId="0" fontId="8" fillId="2" borderId="19" xfId="0" applyFont="1" applyFill="1" applyBorder="1" applyAlignment="1">
      <alignment horizontal="left" wrapText="1"/>
    </xf>
    <xf numFmtId="0" fontId="8" fillId="2" borderId="19" xfId="0" applyFont="1" applyFill="1" applyBorder="1" applyAlignment="1">
      <alignment horizontal="left"/>
    </xf>
    <xf numFmtId="0" fontId="8" fillId="2" borderId="19" xfId="0" applyFont="1" applyFill="1" applyBorder="1" applyAlignment="1">
      <alignment wrapText="1"/>
    </xf>
    <xf numFmtId="0" fontId="44" fillId="2" borderId="14" xfId="0" applyFont="1" applyFill="1" applyBorder="1" applyAlignment="1">
      <alignment horizontal="center" wrapText="1"/>
    </xf>
    <xf numFmtId="0" fontId="44" fillId="2" borderId="45" xfId="0" applyFont="1" applyFill="1" applyBorder="1" applyAlignment="1">
      <alignment horizontal="center" wrapText="1"/>
    </xf>
    <xf numFmtId="0" fontId="44" fillId="0" borderId="15" xfId="0" applyFont="1" applyBorder="1" applyAlignment="1">
      <alignment horizontal="left" vertical="center" wrapText="1"/>
    </xf>
    <xf numFmtId="0" fontId="44" fillId="0" borderId="0" xfId="0" applyFont="1" applyBorder="1" applyAlignment="1">
      <alignment horizontal="left" wrapText="1"/>
    </xf>
    <xf numFmtId="2" fontId="44" fillId="0" borderId="16" xfId="0" applyNumberFormat="1" applyFont="1" applyBorder="1" applyAlignment="1" applyProtection="1">
      <alignment horizontal="center" wrapText="1"/>
      <protection locked="0"/>
    </xf>
    <xf numFmtId="0" fontId="44" fillId="0" borderId="17" xfId="0" applyFont="1" applyBorder="1" applyAlignment="1">
      <alignment horizontal="left" wrapText="1"/>
    </xf>
    <xf numFmtId="0" fontId="44" fillId="0" borderId="3" xfId="0" applyFont="1" applyBorder="1" applyAlignment="1">
      <alignment horizontal="left" wrapText="1"/>
    </xf>
    <xf numFmtId="0" fontId="44" fillId="0" borderId="18" xfId="0" applyFont="1" applyBorder="1" applyAlignment="1" applyProtection="1">
      <alignment horizontal="center" wrapText="1"/>
      <protection locked="0"/>
    </xf>
    <xf numFmtId="0" fontId="44" fillId="2" borderId="1" xfId="0" applyFont="1" applyFill="1" applyBorder="1" applyAlignment="1">
      <alignment horizontal="center" wrapText="1"/>
    </xf>
    <xf numFmtId="0" fontId="44" fillId="2" borderId="20" xfId="0" applyFont="1" applyFill="1" applyBorder="1" applyAlignment="1">
      <alignment horizontal="center" wrapText="1"/>
    </xf>
    <xf numFmtId="0" fontId="44" fillId="0" borderId="15" xfId="0" applyFont="1" applyBorder="1" applyAlignment="1">
      <alignment horizontal="left" wrapText="1"/>
    </xf>
    <xf numFmtId="0" fontId="44" fillId="0" borderId="0" xfId="0" applyFont="1" applyBorder="1" applyAlignment="1">
      <alignment horizontal="center" wrapText="1"/>
    </xf>
    <xf numFmtId="0" fontId="44" fillId="0" borderId="3" xfId="0" applyFont="1" applyBorder="1" applyAlignment="1">
      <alignment horizontal="center" wrapText="1"/>
    </xf>
    <xf numFmtId="0" fontId="44" fillId="0" borderId="21" xfId="0" applyFont="1" applyBorder="1" applyAlignment="1">
      <alignment horizontal="left"/>
    </xf>
    <xf numFmtId="0" fontId="44" fillId="0" borderId="2" xfId="0" applyFont="1" applyBorder="1" applyAlignment="1">
      <alignment horizontal="center" wrapText="1"/>
    </xf>
    <xf numFmtId="3" fontId="44" fillId="0" borderId="16" xfId="0" applyNumberFormat="1" applyFont="1" applyBorder="1" applyAlignment="1">
      <alignment horizontal="center" wrapText="1"/>
    </xf>
    <xf numFmtId="3" fontId="44" fillId="0" borderId="18" xfId="0" applyNumberFormat="1" applyFont="1" applyBorder="1" applyAlignment="1">
      <alignment horizontal="center" wrapText="1"/>
    </xf>
    <xf numFmtId="3" fontId="44" fillId="0" borderId="0" xfId="0" applyNumberFormat="1" applyFont="1" applyBorder="1" applyAlignment="1">
      <alignment horizontal="center" wrapText="1"/>
    </xf>
    <xf numFmtId="9" fontId="44" fillId="0" borderId="16" xfId="1" applyFont="1" applyBorder="1" applyAlignment="1">
      <alignment horizontal="center" wrapText="1"/>
    </xf>
    <xf numFmtId="0" fontId="44" fillId="0" borderId="15" xfId="0" applyFont="1" applyBorder="1" applyAlignment="1">
      <alignment horizontal="left"/>
    </xf>
    <xf numFmtId="0" fontId="44" fillId="2" borderId="20" xfId="0" applyFont="1" applyFill="1" applyBorder="1" applyAlignment="1">
      <alignment wrapText="1"/>
    </xf>
    <xf numFmtId="4" fontId="44" fillId="0" borderId="16" xfId="0" applyNumberFormat="1" applyFont="1" applyBorder="1" applyAlignment="1">
      <alignment horizontal="center" wrapText="1"/>
    </xf>
    <xf numFmtId="164" fontId="44" fillId="3" borderId="16" xfId="0" applyNumberFormat="1" applyFont="1" applyFill="1" applyBorder="1" applyAlignment="1">
      <alignment horizontal="center" wrapText="1"/>
    </xf>
    <xf numFmtId="164" fontId="44" fillId="0" borderId="18" xfId="0" applyNumberFormat="1" applyFont="1" applyBorder="1" applyAlignment="1">
      <alignment horizontal="center" wrapText="1"/>
    </xf>
    <xf numFmtId="167" fontId="44" fillId="0" borderId="16" xfId="0" applyNumberFormat="1" applyFont="1" applyBorder="1" applyAlignment="1">
      <alignment horizontal="center" wrapText="1"/>
    </xf>
    <xf numFmtId="166" fontId="44" fillId="0" borderId="24" xfId="1" applyNumberFormat="1" applyFont="1" applyBorder="1" applyAlignment="1">
      <alignment horizontal="center" wrapText="1"/>
    </xf>
    <xf numFmtId="0" fontId="44" fillId="0" borderId="17" xfId="0" applyFont="1" applyBorder="1" applyAlignment="1">
      <alignment horizontal="left"/>
    </xf>
    <xf numFmtId="0" fontId="21" fillId="15" borderId="15" xfId="0" applyFont="1" applyFill="1" applyBorder="1" applyAlignment="1">
      <alignment vertical="center" wrapText="1"/>
    </xf>
    <xf numFmtId="0" fontId="21" fillId="15" borderId="0" xfId="0" applyFont="1" applyFill="1" applyBorder="1" applyAlignment="1">
      <alignment horizontal="center" vertical="center" wrapText="1"/>
    </xf>
    <xf numFmtId="0" fontId="44" fillId="0" borderId="0" xfId="0" applyFont="1" applyBorder="1" applyAlignment="1">
      <alignment vertical="center" wrapText="1"/>
    </xf>
    <xf numFmtId="0" fontId="21" fillId="15" borderId="0" xfId="0" applyFont="1" applyFill="1" applyBorder="1" applyAlignment="1">
      <alignment vertical="center" wrapText="1"/>
    </xf>
    <xf numFmtId="0" fontId="21" fillId="15" borderId="16" xfId="0" applyFont="1" applyFill="1" applyBorder="1" applyAlignment="1">
      <alignment horizontal="center" vertical="center" wrapText="1"/>
    </xf>
    <xf numFmtId="0" fontId="44" fillId="0" borderId="15" xfId="0" applyFont="1" applyBorder="1" applyAlignment="1">
      <alignment vertical="center"/>
    </xf>
    <xf numFmtId="3" fontId="44" fillId="0" borderId="0" xfId="0" applyNumberFormat="1" applyFont="1" applyBorder="1" applyAlignment="1">
      <alignment horizontal="center" vertical="center" wrapText="1"/>
    </xf>
    <xf numFmtId="0" fontId="44" fillId="0" borderId="0" xfId="0" applyFont="1" applyBorder="1" applyAlignment="1">
      <alignment vertical="center"/>
    </xf>
    <xf numFmtId="3" fontId="44" fillId="0" borderId="16" xfId="0" applyNumberFormat="1" applyFont="1" applyBorder="1" applyAlignment="1">
      <alignment horizontal="center" vertical="center" wrapText="1"/>
    </xf>
    <xf numFmtId="9" fontId="44" fillId="0" borderId="0" xfId="1" applyFont="1" applyBorder="1" applyAlignment="1">
      <alignment vertical="center" wrapText="1"/>
    </xf>
    <xf numFmtId="0" fontId="44" fillId="0" borderId="0" xfId="0" applyFont="1" applyBorder="1" applyAlignment="1">
      <alignment horizontal="center" vertical="center" wrapText="1"/>
    </xf>
    <xf numFmtId="0" fontId="44" fillId="0" borderId="16" xfId="0" applyFont="1" applyBorder="1" applyAlignment="1">
      <alignment horizontal="center" vertical="center" wrapText="1"/>
    </xf>
    <xf numFmtId="9" fontId="44" fillId="0" borderId="0" xfId="0" applyNumberFormat="1" applyFont="1" applyBorder="1" applyAlignment="1" applyProtection="1">
      <alignment horizontal="center" vertical="center" wrapText="1"/>
      <protection locked="0"/>
    </xf>
    <xf numFmtId="9" fontId="44" fillId="0" borderId="16" xfId="0" applyNumberFormat="1" applyFont="1" applyBorder="1" applyAlignment="1" applyProtection="1">
      <alignment horizontal="center" vertical="center" wrapText="1"/>
      <protection locked="0"/>
    </xf>
    <xf numFmtId="177" fontId="44" fillId="0" borderId="0" xfId="0" applyNumberFormat="1" applyFont="1" applyBorder="1" applyAlignment="1">
      <alignment horizontal="center" vertical="center" wrapText="1"/>
    </xf>
    <xf numFmtId="177" fontId="44" fillId="0" borderId="16" xfId="0" applyNumberFormat="1" applyFont="1" applyBorder="1" applyAlignment="1">
      <alignment horizontal="center" vertical="center" wrapText="1"/>
    </xf>
    <xf numFmtId="0" fontId="44" fillId="12" borderId="15" xfId="0" applyFont="1" applyFill="1" applyBorder="1" applyAlignment="1">
      <alignment vertical="center"/>
    </xf>
    <xf numFmtId="3" fontId="44" fillId="12" borderId="0" xfId="0" applyNumberFormat="1" applyFont="1" applyFill="1" applyBorder="1" applyAlignment="1">
      <alignment horizontal="center" vertical="center" wrapText="1"/>
    </xf>
    <xf numFmtId="0" fontId="44" fillId="12" borderId="0" xfId="0" applyFont="1" applyFill="1" applyBorder="1" applyAlignment="1">
      <alignment vertical="center"/>
    </xf>
    <xf numFmtId="3" fontId="44" fillId="12" borderId="16" xfId="0" applyNumberFormat="1" applyFont="1" applyFill="1" applyBorder="1" applyAlignment="1">
      <alignment horizontal="center" vertical="center" wrapText="1"/>
    </xf>
    <xf numFmtId="0" fontId="46" fillId="13" borderId="15" xfId="0" applyFont="1" applyFill="1" applyBorder="1" applyAlignment="1">
      <alignment vertical="center"/>
    </xf>
    <xf numFmtId="3" fontId="46" fillId="13" borderId="0" xfId="0" applyNumberFormat="1" applyFont="1" applyFill="1" applyBorder="1" applyAlignment="1">
      <alignment horizontal="center" vertical="center" wrapText="1"/>
    </xf>
    <xf numFmtId="0" fontId="46" fillId="13" borderId="0" xfId="0" applyFont="1" applyFill="1" applyBorder="1" applyAlignment="1">
      <alignment vertical="center"/>
    </xf>
    <xf numFmtId="3" fontId="46" fillId="13" borderId="16" xfId="0" applyNumberFormat="1" applyFont="1" applyFill="1" applyBorder="1" applyAlignment="1">
      <alignment horizontal="center" vertical="center" wrapText="1"/>
    </xf>
    <xf numFmtId="0" fontId="46" fillId="16" borderId="0" xfId="0" applyFont="1" applyFill="1" applyBorder="1" applyAlignment="1">
      <alignment vertical="center"/>
    </xf>
    <xf numFmtId="3" fontId="44" fillId="2" borderId="0" xfId="0" applyNumberFormat="1" applyFont="1" applyFill="1" applyBorder="1" applyAlignment="1">
      <alignment horizontal="center" vertical="center" wrapText="1"/>
    </xf>
    <xf numFmtId="9" fontId="44" fillId="2" borderId="16" xfId="1" applyFont="1" applyFill="1" applyBorder="1" applyAlignment="1">
      <alignment horizontal="center" vertical="center" wrapText="1"/>
    </xf>
    <xf numFmtId="0" fontId="44" fillId="0" borderId="16" xfId="0" applyFont="1" applyBorder="1" applyAlignment="1">
      <alignment vertical="center" wrapText="1"/>
    </xf>
    <xf numFmtId="0" fontId="21" fillId="14" borderId="0" xfId="0" applyFont="1" applyFill="1" applyBorder="1" applyAlignment="1">
      <alignment vertical="center" wrapText="1"/>
    </xf>
    <xf numFmtId="9" fontId="21" fillId="14" borderId="16" xfId="0" applyNumberFormat="1" applyFont="1" applyFill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44" fillId="0" borderId="0" xfId="0" applyFont="1" applyBorder="1" applyAlignment="1">
      <alignment horizontal="right" vertical="center" wrapText="1"/>
    </xf>
    <xf numFmtId="3" fontId="44" fillId="2" borderId="6" xfId="0" applyNumberFormat="1" applyFont="1" applyFill="1" applyBorder="1" applyAlignment="1">
      <alignment horizontal="center" vertical="center" wrapText="1"/>
    </xf>
    <xf numFmtId="3" fontId="44" fillId="2" borderId="3" xfId="0" applyNumberFormat="1" applyFont="1" applyFill="1" applyBorder="1" applyAlignment="1">
      <alignment horizontal="center" vertical="center" wrapText="1"/>
    </xf>
    <xf numFmtId="4" fontId="44" fillId="2" borderId="7" xfId="0" applyNumberFormat="1" applyFont="1" applyFill="1" applyBorder="1" applyAlignment="1">
      <alignment horizontal="center" vertical="center" wrapText="1"/>
    </xf>
    <xf numFmtId="0" fontId="44" fillId="2" borderId="3" xfId="0" applyFont="1" applyFill="1" applyBorder="1" applyAlignment="1">
      <alignment horizontal="center" vertical="center" wrapText="1"/>
    </xf>
    <xf numFmtId="0" fontId="44" fillId="2" borderId="6" xfId="0" applyFont="1" applyFill="1" applyBorder="1" applyAlignment="1">
      <alignment horizontal="center" vertical="center" wrapText="1"/>
    </xf>
    <xf numFmtId="0" fontId="44" fillId="2" borderId="7" xfId="0" applyFont="1" applyFill="1" applyBorder="1" applyAlignment="1">
      <alignment horizontal="center" vertical="center" wrapText="1"/>
    </xf>
    <xf numFmtId="0" fontId="44" fillId="2" borderId="18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3" fontId="9" fillId="3" borderId="8" xfId="0" applyNumberFormat="1" applyFont="1" applyFill="1" applyBorder="1" applyAlignment="1">
      <alignment horizontal="center" vertical="center" wrapText="1"/>
    </xf>
    <xf numFmtId="3" fontId="9" fillId="3" borderId="0" xfId="0" applyNumberFormat="1" applyFont="1" applyFill="1" applyBorder="1" applyAlignment="1">
      <alignment horizontal="center" vertical="center" wrapText="1"/>
    </xf>
    <xf numFmtId="165" fontId="9" fillId="3" borderId="0" xfId="0" applyNumberFormat="1" applyFont="1" applyFill="1" applyBorder="1" applyAlignment="1">
      <alignment horizontal="center" vertical="center" wrapText="1"/>
    </xf>
    <xf numFmtId="3" fontId="9" fillId="3" borderId="0" xfId="0" applyNumberFormat="1" applyFont="1" applyFill="1" applyBorder="1" applyAlignment="1" applyProtection="1">
      <alignment horizontal="center" vertical="center" wrapText="1"/>
      <protection locked="0"/>
    </xf>
    <xf numFmtId="4" fontId="9" fillId="3" borderId="0" xfId="0" applyNumberFormat="1" applyFont="1" applyFill="1" applyBorder="1" applyAlignment="1">
      <alignment horizontal="center" vertical="center" wrapText="1"/>
    </xf>
    <xf numFmtId="4" fontId="9" fillId="3" borderId="9" xfId="0" applyNumberFormat="1" applyFont="1" applyFill="1" applyBorder="1" applyAlignment="1">
      <alignment horizontal="center" vertical="center" wrapText="1"/>
    </xf>
    <xf numFmtId="164" fontId="9" fillId="3" borderId="0" xfId="0" applyNumberFormat="1" applyFont="1" applyFill="1" applyBorder="1" applyAlignment="1">
      <alignment horizontal="center" vertical="center" wrapText="1"/>
    </xf>
    <xf numFmtId="3" fontId="9" fillId="3" borderId="8" xfId="0" applyNumberFormat="1" applyFont="1" applyFill="1" applyBorder="1" applyAlignment="1" applyProtection="1">
      <alignment horizontal="center" vertical="center" wrapText="1"/>
      <protection locked="0"/>
    </xf>
    <xf numFmtId="3" fontId="9" fillId="3" borderId="0" xfId="0" applyNumberFormat="1" applyFont="1" applyFill="1" applyBorder="1" applyAlignment="1" applyProtection="1">
      <alignment horizontal="center" vertical="center" wrapText="1"/>
    </xf>
    <xf numFmtId="2" fontId="9" fillId="3" borderId="0" xfId="0" applyNumberFormat="1" applyFont="1" applyFill="1" applyBorder="1" applyAlignment="1">
      <alignment horizontal="center" vertical="center" wrapText="1"/>
    </xf>
    <xf numFmtId="0" fontId="9" fillId="3" borderId="8" xfId="0" applyFont="1" applyFill="1" applyBorder="1" applyAlignment="1" applyProtection="1">
      <alignment horizontal="center" vertical="center" wrapText="1"/>
      <protection locked="0"/>
    </xf>
    <xf numFmtId="0" fontId="9" fillId="3" borderId="0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 applyProtection="1">
      <alignment horizontal="center" vertical="center" wrapText="1"/>
    </xf>
    <xf numFmtId="4" fontId="9" fillId="3" borderId="34" xfId="0" applyNumberFormat="1" applyFont="1" applyFill="1" applyBorder="1" applyAlignment="1">
      <alignment horizontal="center" vertical="center" wrapText="1"/>
    </xf>
    <xf numFmtId="4" fontId="9" fillId="3" borderId="16" xfId="0" applyNumberFormat="1" applyFont="1" applyFill="1" applyBorder="1" applyAlignment="1">
      <alignment horizontal="center" vertical="center" wrapText="1"/>
    </xf>
    <xf numFmtId="0" fontId="9" fillId="3" borderId="22" xfId="0" applyFont="1" applyFill="1" applyBorder="1" applyAlignment="1">
      <alignment horizontal="center" vertical="center" wrapText="1"/>
    </xf>
    <xf numFmtId="3" fontId="9" fillId="3" borderId="35" xfId="0" applyNumberFormat="1" applyFont="1" applyFill="1" applyBorder="1" applyAlignment="1">
      <alignment horizontal="center" vertical="center" wrapText="1"/>
    </xf>
    <xf numFmtId="3" fontId="9" fillId="3" borderId="23" xfId="0" applyNumberFormat="1" applyFont="1" applyFill="1" applyBorder="1" applyAlignment="1">
      <alignment horizontal="center" vertical="center" wrapText="1"/>
    </xf>
    <xf numFmtId="165" fontId="9" fillId="3" borderId="23" xfId="0" applyNumberFormat="1" applyFont="1" applyFill="1" applyBorder="1" applyAlignment="1">
      <alignment horizontal="center" vertical="center" wrapText="1"/>
    </xf>
    <xf numFmtId="3" fontId="9" fillId="3" borderId="23" xfId="0" applyNumberFormat="1" applyFont="1" applyFill="1" applyBorder="1" applyAlignment="1" applyProtection="1">
      <alignment horizontal="center" vertical="center" wrapText="1"/>
      <protection locked="0"/>
    </xf>
    <xf numFmtId="4" fontId="9" fillId="3" borderId="23" xfId="0" applyNumberFormat="1" applyFont="1" applyFill="1" applyBorder="1" applyAlignment="1">
      <alignment horizontal="center" vertical="center" wrapText="1"/>
    </xf>
    <xf numFmtId="4" fontId="9" fillId="3" borderId="36" xfId="0" applyNumberFormat="1" applyFont="1" applyFill="1" applyBorder="1" applyAlignment="1">
      <alignment horizontal="center" vertical="center" wrapText="1"/>
    </xf>
    <xf numFmtId="4" fontId="9" fillId="3" borderId="35" xfId="0" applyNumberFormat="1" applyFont="1" applyFill="1" applyBorder="1" applyAlignment="1">
      <alignment horizontal="center" vertical="center" wrapText="1"/>
    </xf>
    <xf numFmtId="164" fontId="9" fillId="3" borderId="23" xfId="0" applyNumberFormat="1" applyFont="1" applyFill="1" applyBorder="1" applyAlignment="1">
      <alignment horizontal="center" vertical="center" wrapText="1"/>
    </xf>
    <xf numFmtId="3" fontId="9" fillId="3" borderId="35" xfId="0" applyNumberFormat="1" applyFont="1" applyFill="1" applyBorder="1" applyAlignment="1" applyProtection="1">
      <alignment horizontal="center" vertical="center" wrapText="1"/>
      <protection locked="0"/>
    </xf>
    <xf numFmtId="3" fontId="9" fillId="3" borderId="23" xfId="0" applyNumberFormat="1" applyFont="1" applyFill="1" applyBorder="1" applyAlignment="1" applyProtection="1">
      <alignment horizontal="center" vertical="center" wrapText="1"/>
    </xf>
    <xf numFmtId="2" fontId="9" fillId="3" borderId="23" xfId="0" applyNumberFormat="1" applyFont="1" applyFill="1" applyBorder="1" applyAlignment="1">
      <alignment horizontal="center" vertical="center" wrapText="1"/>
    </xf>
    <xf numFmtId="0" fontId="9" fillId="3" borderId="35" xfId="0" applyFont="1" applyFill="1" applyBorder="1" applyAlignment="1" applyProtection="1">
      <alignment horizontal="center" vertical="center" wrapText="1"/>
      <protection locked="0"/>
    </xf>
    <xf numFmtId="0" fontId="9" fillId="3" borderId="23" xfId="0" applyFont="1" applyFill="1" applyBorder="1" applyAlignment="1">
      <alignment horizontal="center" vertical="center" wrapText="1"/>
    </xf>
    <xf numFmtId="0" fontId="9" fillId="3" borderId="23" xfId="0" applyFont="1" applyFill="1" applyBorder="1" applyAlignment="1" applyProtection="1">
      <alignment horizontal="center" vertical="center" wrapText="1"/>
    </xf>
    <xf numFmtId="4" fontId="9" fillId="3" borderId="24" xfId="0" applyNumberFormat="1" applyFont="1" applyFill="1" applyBorder="1" applyAlignment="1">
      <alignment horizontal="center" vertical="center" wrapText="1"/>
    </xf>
    <xf numFmtId="0" fontId="44" fillId="2" borderId="0" xfId="0" applyFont="1" applyFill="1" applyBorder="1" applyAlignment="1">
      <alignment horizontal="center" vertical="center" wrapText="1"/>
    </xf>
    <xf numFmtId="0" fontId="21" fillId="14" borderId="0" xfId="0" applyFont="1" applyFill="1" applyBorder="1" applyAlignment="1">
      <alignment horizontal="center" vertical="center" wrapText="1"/>
    </xf>
    <xf numFmtId="0" fontId="37" fillId="19" borderId="0" xfId="0" applyFont="1" applyFill="1"/>
    <xf numFmtId="0" fontId="36" fillId="19" borderId="0" xfId="0" applyFont="1" applyFill="1"/>
    <xf numFmtId="0" fontId="0" fillId="19" borderId="0" xfId="0" applyFill="1"/>
    <xf numFmtId="0" fontId="0" fillId="0" borderId="0" xfId="0" applyFill="1"/>
    <xf numFmtId="3" fontId="14" fillId="0" borderId="0" xfId="0" applyNumberFormat="1" applyFont="1" applyBorder="1" applyAlignment="1">
      <alignment horizontal="center" vertical="center" wrapText="1"/>
    </xf>
    <xf numFmtId="0" fontId="49" fillId="0" borderId="15" xfId="0" applyFont="1" applyBorder="1" applyAlignment="1">
      <alignment horizontal="left" vertical="center" wrapText="1"/>
    </xf>
    <xf numFmtId="0" fontId="5" fillId="0" borderId="25" xfId="0" applyFont="1" applyBorder="1" applyAlignment="1" applyProtection="1">
      <alignment horizontal="center" vertical="center" wrapText="1"/>
      <protection locked="0"/>
    </xf>
    <xf numFmtId="3" fontId="5" fillId="0" borderId="26" xfId="0" applyNumberFormat="1" applyFont="1" applyBorder="1" applyAlignment="1">
      <alignment horizontal="center" vertical="center" wrapText="1"/>
    </xf>
    <xf numFmtId="1" fontId="5" fillId="0" borderId="15" xfId="0" applyNumberFormat="1" applyFont="1" applyBorder="1" applyAlignment="1">
      <alignment horizontal="center" vertical="center" wrapText="1"/>
    </xf>
    <xf numFmtId="3" fontId="5" fillId="0" borderId="0" xfId="0" applyNumberFormat="1" applyFont="1" applyBorder="1" applyAlignment="1">
      <alignment horizontal="center" vertical="center" wrapText="1"/>
    </xf>
    <xf numFmtId="0" fontId="5" fillId="0" borderId="15" xfId="0" applyFont="1" applyBorder="1" applyAlignment="1" applyProtection="1">
      <alignment horizontal="center" vertical="center" wrapText="1"/>
      <protection locked="0"/>
    </xf>
    <xf numFmtId="0" fontId="5" fillId="0" borderId="15" xfId="0" applyFont="1" applyBorder="1" applyAlignment="1">
      <alignment horizontal="center" vertical="center" wrapText="1"/>
    </xf>
    <xf numFmtId="1" fontId="12" fillId="0" borderId="0" xfId="0" applyNumberFormat="1" applyFont="1" applyBorder="1" applyAlignment="1">
      <alignment horizontal="center"/>
    </xf>
    <xf numFmtId="9" fontId="12" fillId="0" borderId="0" xfId="1" applyFont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4" fillId="0" borderId="22" xfId="0" applyFont="1" applyBorder="1" applyAlignment="1">
      <alignment horizontal="left" wrapText="1"/>
    </xf>
    <xf numFmtId="0" fontId="44" fillId="0" borderId="23" xfId="0" applyFont="1" applyBorder="1" applyAlignment="1">
      <alignment horizontal="left" wrapText="1"/>
    </xf>
    <xf numFmtId="0" fontId="47" fillId="2" borderId="6" xfId="0" applyFont="1" applyFill="1" applyBorder="1" applyAlignment="1">
      <alignment horizontal="center" vertical="center" wrapText="1"/>
    </xf>
    <xf numFmtId="0" fontId="47" fillId="2" borderId="3" xfId="0" applyFont="1" applyFill="1" applyBorder="1" applyAlignment="1">
      <alignment horizontal="center" vertical="center" wrapText="1"/>
    </xf>
    <xf numFmtId="0" fontId="47" fillId="2" borderId="7" xfId="0" applyFont="1" applyFill="1" applyBorder="1" applyAlignment="1">
      <alignment horizontal="center" vertical="center" wrapText="1"/>
    </xf>
    <xf numFmtId="0" fontId="47" fillId="2" borderId="18" xfId="0" applyFont="1" applyFill="1" applyBorder="1" applyAlignment="1">
      <alignment horizontal="center" vertical="center" wrapText="1"/>
    </xf>
    <xf numFmtId="0" fontId="47" fillId="2" borderId="32" xfId="0" applyFont="1" applyFill="1" applyBorder="1" applyAlignment="1">
      <alignment horizontal="center" vertical="center" wrapText="1"/>
    </xf>
    <xf numFmtId="0" fontId="47" fillId="2" borderId="14" xfId="0" applyFont="1" applyFill="1" applyBorder="1" applyAlignment="1">
      <alignment horizontal="center" vertical="center" wrapText="1"/>
    </xf>
    <xf numFmtId="4" fontId="8" fillId="0" borderId="0" xfId="0" applyNumberFormat="1" applyFont="1" applyBorder="1" applyAlignment="1">
      <alignment horizontal="right" vertical="center"/>
    </xf>
    <xf numFmtId="4" fontId="8" fillId="0" borderId="0" xfId="0" applyNumberFormat="1" applyFont="1" applyBorder="1" applyAlignment="1">
      <alignment horizontal="right" vertical="center" wrapText="1"/>
    </xf>
    <xf numFmtId="166" fontId="0" fillId="0" borderId="0" xfId="1" applyNumberFormat="1" applyFont="1" applyBorder="1" applyAlignment="1">
      <alignment horizontal="center" vertical="center" wrapText="1"/>
    </xf>
    <xf numFmtId="0" fontId="12" fillId="10" borderId="12" xfId="139" applyFont="1" applyFill="1" applyBorder="1" applyAlignment="1">
      <alignment horizontal="center" vertical="center"/>
    </xf>
    <xf numFmtId="0" fontId="18" fillId="6" borderId="12" xfId="139" applyFont="1" applyFill="1" applyBorder="1" applyAlignment="1">
      <alignment horizontal="center"/>
    </xf>
    <xf numFmtId="0" fontId="18" fillId="6" borderId="4" xfId="139" applyFont="1" applyFill="1" applyBorder="1" applyAlignment="1">
      <alignment horizontal="center"/>
    </xf>
    <xf numFmtId="0" fontId="18" fillId="6" borderId="1" xfId="139" applyFont="1" applyFill="1" applyBorder="1" applyAlignment="1">
      <alignment horizontal="center"/>
    </xf>
    <xf numFmtId="0" fontId="18" fillId="6" borderId="5" xfId="139" applyFont="1" applyFill="1" applyBorder="1" applyAlignment="1">
      <alignment horizontal="center"/>
    </xf>
    <xf numFmtId="0" fontId="17" fillId="8" borderId="4" xfId="139" applyFont="1" applyFill="1" applyBorder="1" applyAlignment="1">
      <alignment horizontal="center"/>
    </xf>
    <xf numFmtId="0" fontId="17" fillId="8" borderId="1" xfId="139" applyFont="1" applyFill="1" applyBorder="1" applyAlignment="1">
      <alignment horizontal="center"/>
    </xf>
    <xf numFmtId="0" fontId="17" fillId="8" borderId="5" xfId="139" applyFont="1" applyFill="1" applyBorder="1" applyAlignment="1">
      <alignment horizontal="center"/>
    </xf>
    <xf numFmtId="0" fontId="19" fillId="9" borderId="4" xfId="139" applyFont="1" applyFill="1" applyBorder="1" applyAlignment="1">
      <alignment horizontal="center"/>
    </xf>
    <xf numFmtId="0" fontId="19" fillId="9" borderId="1" xfId="139" applyFont="1" applyFill="1" applyBorder="1" applyAlignment="1">
      <alignment horizontal="center"/>
    </xf>
    <xf numFmtId="0" fontId="19" fillId="9" borderId="5" xfId="139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</cellXfs>
  <cellStyles count="141">
    <cellStyle name="Hiperlink" xfId="2" builtinId="8" hidden="1"/>
    <cellStyle name="Hiperlink" xfId="4" builtinId="8" hidden="1"/>
    <cellStyle name="Hiperlink" xfId="6" builtinId="8" hidden="1"/>
    <cellStyle name="Hiperlink" xfId="8" builtinId="8" hidden="1"/>
    <cellStyle name="Hiperlink" xfId="10" builtinId="8" hidden="1"/>
    <cellStyle name="Hiperlink" xfId="12" builtinId="8" hidden="1"/>
    <cellStyle name="Hiperlink" xfId="14" builtinId="8" hidden="1"/>
    <cellStyle name="Hiperlink" xfId="16" builtinId="8" hidden="1"/>
    <cellStyle name="Hiperlink" xfId="18" builtinId="8" hidden="1"/>
    <cellStyle name="Hiperlink" xfId="20" builtinId="8" hidden="1"/>
    <cellStyle name="Hiperlink" xfId="22" builtinId="8" hidden="1"/>
    <cellStyle name="Hiperlink" xfId="24" builtinId="8" hidden="1"/>
    <cellStyle name="Hiperlink" xfId="26" builtinId="8" hidden="1"/>
    <cellStyle name="Hiperlink" xfId="28" builtinId="8" hidden="1"/>
    <cellStyle name="Hiperlink" xfId="30" builtinId="8" hidden="1"/>
    <cellStyle name="Hiperlink" xfId="32" builtinId="8" hidden="1"/>
    <cellStyle name="Hiperlink" xfId="34" builtinId="8" hidden="1"/>
    <cellStyle name="Hiperlink" xfId="36" builtinId="8" hidden="1"/>
    <cellStyle name="Hiperlink" xfId="38" builtinId="8" hidden="1"/>
    <cellStyle name="Hiperlink" xfId="40" builtinId="8" hidden="1"/>
    <cellStyle name="Hiperlink" xfId="42" builtinId="8" hidden="1"/>
    <cellStyle name="Hiperlink" xfId="44" builtinId="8" hidden="1"/>
    <cellStyle name="Hiperlink" xfId="46" builtinId="8" hidden="1"/>
    <cellStyle name="Hiperlink" xfId="48" builtinId="8" hidden="1"/>
    <cellStyle name="Hiperlink" xfId="50" builtinId="8" hidden="1"/>
    <cellStyle name="Hiperlink" xfId="52" builtinId="8" hidden="1"/>
    <cellStyle name="Hiperlink" xfId="54" builtinId="8" hidden="1"/>
    <cellStyle name="Hiperlink" xfId="56" builtinId="8" hidden="1"/>
    <cellStyle name="Hiperlink" xfId="58" builtinId="8" hidden="1"/>
    <cellStyle name="Hiperlink" xfId="60" builtinId="8" hidden="1"/>
    <cellStyle name="Hiperlink" xfId="62" builtinId="8" hidden="1"/>
    <cellStyle name="Hiperlink" xfId="64" builtinId="8" hidden="1"/>
    <cellStyle name="Hiperlink" xfId="66" builtinId="8" hidden="1"/>
    <cellStyle name="Hiperlink" xfId="68" builtinId="8" hidden="1"/>
    <cellStyle name="Hiperlink" xfId="70" builtinId="8" hidden="1"/>
    <cellStyle name="Hiperlink" xfId="72" builtinId="8" hidden="1"/>
    <cellStyle name="Hiperlink" xfId="74" builtinId="8" hidden="1"/>
    <cellStyle name="Hiperlink" xfId="76" builtinId="8" hidden="1"/>
    <cellStyle name="Hiperlink" xfId="78" builtinId="8" hidden="1"/>
    <cellStyle name="Hiperlink" xfId="80" builtinId="8" hidden="1"/>
    <cellStyle name="Hiperlink" xfId="82" builtinId="8" hidden="1"/>
    <cellStyle name="Hiperlink" xfId="85" builtinId="8" hidden="1"/>
    <cellStyle name="Hiperlink" xfId="87" builtinId="8" hidden="1"/>
    <cellStyle name="Hiperlink" xfId="89" builtinId="8" hidden="1"/>
    <cellStyle name="Hiperlink" xfId="91" builtinId="8" hidden="1"/>
    <cellStyle name="Hiperlink" xfId="93" builtinId="8" hidden="1"/>
    <cellStyle name="Hiperlink" xfId="95" builtinId="8" hidden="1"/>
    <cellStyle name="Hiperlink" xfId="97" builtinId="8" hidden="1"/>
    <cellStyle name="Hiperlink" xfId="99" builtinId="8" hidden="1"/>
    <cellStyle name="Hiperlink" xfId="101" builtinId="8" hidden="1"/>
    <cellStyle name="Hiperlink" xfId="103" builtinId="8" hidden="1"/>
    <cellStyle name="Hiperlink" xfId="105" builtinId="8" hidden="1"/>
    <cellStyle name="Hiperlink" xfId="107" builtinId="8" hidden="1"/>
    <cellStyle name="Hiperlink" xfId="109" builtinId="8" hidden="1"/>
    <cellStyle name="Hiperlink" xfId="111" builtinId="8" hidden="1"/>
    <cellStyle name="Hiperlink" xfId="113" builtinId="8" hidden="1"/>
    <cellStyle name="Hiperlink" xfId="115" builtinId="8" hidden="1"/>
    <cellStyle name="Hiperlink" xfId="117" builtinId="8" hidden="1"/>
    <cellStyle name="Hiperlink" xfId="119" builtinId="8" hidden="1"/>
    <cellStyle name="Hiperlink" xfId="121" builtinId="8" hidden="1"/>
    <cellStyle name="Hiperlink" xfId="123" builtinId="8" hidden="1"/>
    <cellStyle name="Hiperlink" xfId="125" builtinId="8" hidden="1"/>
    <cellStyle name="Hiperlink" xfId="127" builtinId="8" hidden="1"/>
    <cellStyle name="Hiperlink" xfId="129" builtinId="8" hidden="1"/>
    <cellStyle name="Hiperlink" xfId="131" builtinId="8" hidden="1"/>
    <cellStyle name="Hiperlink" xfId="133" builtinId="8" hidden="1"/>
    <cellStyle name="Hiperlink" xfId="135" builtinId="8" hidden="1"/>
    <cellStyle name="Hiperlink" xfId="137" builtinId="8" hidden="1"/>
    <cellStyle name="Hiperlink Visitado" xfId="3" builtinId="9" hidden="1"/>
    <cellStyle name="Hiperlink Visitado" xfId="5" builtinId="9" hidden="1"/>
    <cellStyle name="Hiperlink Visitado" xfId="7" builtinId="9" hidden="1"/>
    <cellStyle name="Hiperlink Visitado" xfId="9" builtinId="9" hidden="1"/>
    <cellStyle name="Hiperlink Visitado" xfId="11" builtinId="9" hidden="1"/>
    <cellStyle name="Hiperlink Visitado" xfId="13" builtinId="9" hidden="1"/>
    <cellStyle name="Hiperlink Visitado" xfId="15" builtinId="9" hidden="1"/>
    <cellStyle name="Hiperlink Visitado" xfId="17" builtinId="9" hidden="1"/>
    <cellStyle name="Hiperlink Visitado" xfId="19" builtinId="9" hidden="1"/>
    <cellStyle name="Hiperlink Visitado" xfId="21" builtinId="9" hidden="1"/>
    <cellStyle name="Hiperlink Visitado" xfId="23" builtinId="9" hidden="1"/>
    <cellStyle name="Hiperlink Visitado" xfId="25" builtinId="9" hidden="1"/>
    <cellStyle name="Hiperlink Visitado" xfId="27" builtinId="9" hidden="1"/>
    <cellStyle name="Hiperlink Visitado" xfId="29" builtinId="9" hidden="1"/>
    <cellStyle name="Hiperlink Visitado" xfId="31" builtinId="9" hidden="1"/>
    <cellStyle name="Hiperlink Visitado" xfId="33" builtinId="9" hidden="1"/>
    <cellStyle name="Hiperlink Visitado" xfId="35" builtinId="9" hidden="1"/>
    <cellStyle name="Hiperlink Visitado" xfId="37" builtinId="9" hidden="1"/>
    <cellStyle name="Hiperlink Visitado" xfId="39" builtinId="9" hidden="1"/>
    <cellStyle name="Hiperlink Visitado" xfId="41" builtinId="9" hidden="1"/>
    <cellStyle name="Hiperlink Visitado" xfId="43" builtinId="9" hidden="1"/>
    <cellStyle name="Hiperlink Visitado" xfId="45" builtinId="9" hidden="1"/>
    <cellStyle name="Hiperlink Visitado" xfId="47" builtinId="9" hidden="1"/>
    <cellStyle name="Hiperlink Visitado" xfId="49" builtinId="9" hidden="1"/>
    <cellStyle name="Hiperlink Visitado" xfId="51" builtinId="9" hidden="1"/>
    <cellStyle name="Hiperlink Visitado" xfId="53" builtinId="9" hidden="1"/>
    <cellStyle name="Hiperlink Visitado" xfId="55" builtinId="9" hidden="1"/>
    <cellStyle name="Hiperlink Visitado" xfId="57" builtinId="9" hidden="1"/>
    <cellStyle name="Hiperlink Visitado" xfId="59" builtinId="9" hidden="1"/>
    <cellStyle name="Hiperlink Visitado" xfId="61" builtinId="9" hidden="1"/>
    <cellStyle name="Hiperlink Visitado" xfId="63" builtinId="9" hidden="1"/>
    <cellStyle name="Hiperlink Visitado" xfId="65" builtinId="9" hidden="1"/>
    <cellStyle name="Hiperlink Visitado" xfId="67" builtinId="9" hidden="1"/>
    <cellStyle name="Hiperlink Visitado" xfId="69" builtinId="9" hidden="1"/>
    <cellStyle name="Hiperlink Visitado" xfId="71" builtinId="9" hidden="1"/>
    <cellStyle name="Hiperlink Visitado" xfId="73" builtinId="9" hidden="1"/>
    <cellStyle name="Hiperlink Visitado" xfId="75" builtinId="9" hidden="1"/>
    <cellStyle name="Hiperlink Visitado" xfId="77" builtinId="9" hidden="1"/>
    <cellStyle name="Hiperlink Visitado" xfId="79" builtinId="9" hidden="1"/>
    <cellStyle name="Hiperlink Visitado" xfId="81" builtinId="9" hidden="1"/>
    <cellStyle name="Hiperlink Visitado" xfId="83" builtinId="9" hidden="1"/>
    <cellStyle name="Hiperlink Visitado" xfId="86" builtinId="9" hidden="1"/>
    <cellStyle name="Hiperlink Visitado" xfId="88" builtinId="9" hidden="1"/>
    <cellStyle name="Hiperlink Visitado" xfId="90" builtinId="9" hidden="1"/>
    <cellStyle name="Hiperlink Visitado" xfId="92" builtinId="9" hidden="1"/>
    <cellStyle name="Hiperlink Visitado" xfId="94" builtinId="9" hidden="1"/>
    <cellStyle name="Hiperlink Visitado" xfId="96" builtinId="9" hidden="1"/>
    <cellStyle name="Hiperlink Visitado" xfId="98" builtinId="9" hidden="1"/>
    <cellStyle name="Hiperlink Visitado" xfId="100" builtinId="9" hidden="1"/>
    <cellStyle name="Hiperlink Visitado" xfId="102" builtinId="9" hidden="1"/>
    <cellStyle name="Hiperlink Visitado" xfId="104" builtinId="9" hidden="1"/>
    <cellStyle name="Hiperlink Visitado" xfId="106" builtinId="9" hidden="1"/>
    <cellStyle name="Hiperlink Visitado" xfId="108" builtinId="9" hidden="1"/>
    <cellStyle name="Hiperlink Visitado" xfId="110" builtinId="9" hidden="1"/>
    <cellStyle name="Hiperlink Visitado" xfId="112" builtinId="9" hidden="1"/>
    <cellStyle name="Hiperlink Visitado" xfId="114" builtinId="9" hidden="1"/>
    <cellStyle name="Hiperlink Visitado" xfId="116" builtinId="9" hidden="1"/>
    <cellStyle name="Hiperlink Visitado" xfId="118" builtinId="9" hidden="1"/>
    <cellStyle name="Hiperlink Visitado" xfId="120" builtinId="9" hidden="1"/>
    <cellStyle name="Hiperlink Visitado" xfId="122" builtinId="9" hidden="1"/>
    <cellStyle name="Hiperlink Visitado" xfId="124" builtinId="9" hidden="1"/>
    <cellStyle name="Hiperlink Visitado" xfId="126" builtinId="9" hidden="1"/>
    <cellStyle name="Hiperlink Visitado" xfId="128" builtinId="9" hidden="1"/>
    <cellStyle name="Hiperlink Visitado" xfId="130" builtinId="9" hidden="1"/>
    <cellStyle name="Hiperlink Visitado" xfId="132" builtinId="9" hidden="1"/>
    <cellStyle name="Hiperlink Visitado" xfId="134" builtinId="9" hidden="1"/>
    <cellStyle name="Hiperlink Visitado" xfId="136" builtinId="9" hidden="1"/>
    <cellStyle name="Hiperlink Visitado" xfId="138" builtinId="9" hidden="1"/>
    <cellStyle name="Normal" xfId="0" builtinId="0"/>
    <cellStyle name="Normal 2" xfId="84" xr:uid="{00000000-0005-0000-0000-000089000000}"/>
    <cellStyle name="Normal 3" xfId="139" xr:uid="{00000000-0005-0000-0000-00008A000000}"/>
    <cellStyle name="Normal 4" xfId="140" xr:uid="{F97ECB89-7D66-4698-89CC-1E797B9A2D65}"/>
    <cellStyle name="Porcentagem" xfId="1" builtinId="5"/>
  </cellStyles>
  <dxfs count="38">
    <dxf>
      <font>
        <color rgb="FF00B050"/>
      </font>
    </dxf>
    <dxf>
      <font>
        <color theme="8" tint="-0.24994659260841701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theme="8" tint="-0.24994659260841701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colors>
    <mruColors>
      <color rgb="FFFFFF8B"/>
      <color rgb="FF7DFFB8"/>
      <color rgb="FFFF7D7D"/>
      <color rgb="FFFF4F4F"/>
      <color rgb="FF8FE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840744930902996E-2"/>
          <c:y val="0.17389963903400291"/>
          <c:w val="0.93628317872631195"/>
          <c:h val="0.7028570526029239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Planejamento!$D$35</c:f>
              <c:strCache>
                <c:ptCount val="1"/>
                <c:pt idx="0">
                  <c:v>Entradas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2"/>
              </a:solidFill>
            </a:ln>
          </c:spPr>
          <c:invertIfNegative val="0"/>
          <c:cat>
            <c:numRef>
              <c:f>Planejamento!$B$36:$B$95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Planejamento!$D$36:$D$95</c:f>
              <c:numCache>
                <c:formatCode>#,##0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8600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8300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2300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6400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7700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9900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9700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7500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6600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3100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33-4784-90D1-C15E2EC47C2E}"/>
            </c:ext>
          </c:extLst>
        </c:ser>
        <c:ser>
          <c:idx val="2"/>
          <c:order val="1"/>
          <c:tx>
            <c:strRef>
              <c:f>Planejamento!$E$35</c:f>
              <c:strCache>
                <c:ptCount val="1"/>
                <c:pt idx="0">
                  <c:v>Saídas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00B0F0"/>
              </a:solidFill>
            </a:ln>
          </c:spPr>
          <c:invertIfNegative val="0"/>
          <c:cat>
            <c:numRef>
              <c:f>Planejamento!$B$36:$B$95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Planejamento!$E$36:$E$95</c:f>
              <c:numCache>
                <c:formatCode>#,##0;[Red]#,##0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-2293</c:v>
                </c:pt>
                <c:pt idx="7">
                  <c:v>-2038</c:v>
                </c:pt>
                <c:pt idx="8">
                  <c:v>-488</c:v>
                </c:pt>
                <c:pt idx="9">
                  <c:v>-572</c:v>
                </c:pt>
                <c:pt idx="10">
                  <c:v>-488</c:v>
                </c:pt>
                <c:pt idx="11">
                  <c:v>-2825</c:v>
                </c:pt>
                <c:pt idx="12">
                  <c:v>-444</c:v>
                </c:pt>
                <c:pt idx="13">
                  <c:v>-2597</c:v>
                </c:pt>
                <c:pt idx="14">
                  <c:v>-888</c:v>
                </c:pt>
                <c:pt idx="15">
                  <c:v>-1454</c:v>
                </c:pt>
                <c:pt idx="16">
                  <c:v>-220</c:v>
                </c:pt>
                <c:pt idx="17">
                  <c:v>-288</c:v>
                </c:pt>
                <c:pt idx="18">
                  <c:v>-476</c:v>
                </c:pt>
                <c:pt idx="19">
                  <c:v>-744</c:v>
                </c:pt>
                <c:pt idx="20">
                  <c:v>-476</c:v>
                </c:pt>
                <c:pt idx="21">
                  <c:v>-1494</c:v>
                </c:pt>
                <c:pt idx="22">
                  <c:v>-2224</c:v>
                </c:pt>
                <c:pt idx="23">
                  <c:v>-672</c:v>
                </c:pt>
                <c:pt idx="24">
                  <c:v>-2922</c:v>
                </c:pt>
                <c:pt idx="25">
                  <c:v>-253</c:v>
                </c:pt>
                <c:pt idx="26">
                  <c:v>-2243</c:v>
                </c:pt>
                <c:pt idx="27">
                  <c:v>-170</c:v>
                </c:pt>
                <c:pt idx="28">
                  <c:v>-220</c:v>
                </c:pt>
                <c:pt idx="29">
                  <c:v>-2038</c:v>
                </c:pt>
                <c:pt idx="30">
                  <c:v>-1676</c:v>
                </c:pt>
                <c:pt idx="31">
                  <c:v>-672</c:v>
                </c:pt>
                <c:pt idx="32">
                  <c:v>-2998</c:v>
                </c:pt>
                <c:pt idx="33">
                  <c:v>-1355</c:v>
                </c:pt>
                <c:pt idx="34">
                  <c:v>-672</c:v>
                </c:pt>
                <c:pt idx="35">
                  <c:v>-1960</c:v>
                </c:pt>
                <c:pt idx="36">
                  <c:v>-3180</c:v>
                </c:pt>
                <c:pt idx="37">
                  <c:v>-2224</c:v>
                </c:pt>
                <c:pt idx="38">
                  <c:v>-391</c:v>
                </c:pt>
                <c:pt idx="39">
                  <c:v>-2164</c:v>
                </c:pt>
                <c:pt idx="40">
                  <c:v>-1900</c:v>
                </c:pt>
                <c:pt idx="41">
                  <c:v>-3046</c:v>
                </c:pt>
                <c:pt idx="42">
                  <c:v>-2922</c:v>
                </c:pt>
                <c:pt idx="43">
                  <c:v>-1814</c:v>
                </c:pt>
                <c:pt idx="44">
                  <c:v>-1593</c:v>
                </c:pt>
                <c:pt idx="45">
                  <c:v>-276</c:v>
                </c:pt>
                <c:pt idx="46">
                  <c:v>-1900</c:v>
                </c:pt>
                <c:pt idx="47">
                  <c:v>-2408</c:v>
                </c:pt>
                <c:pt idx="48">
                  <c:v>-476</c:v>
                </c:pt>
                <c:pt idx="49">
                  <c:v>-1913</c:v>
                </c:pt>
                <c:pt idx="50">
                  <c:v>-744</c:v>
                </c:pt>
                <c:pt idx="51">
                  <c:v>-2257</c:v>
                </c:pt>
                <c:pt idx="52">
                  <c:v>-1960</c:v>
                </c:pt>
                <c:pt idx="53">
                  <c:v>-459</c:v>
                </c:pt>
                <c:pt idx="54">
                  <c:v>-1676</c:v>
                </c:pt>
                <c:pt idx="55">
                  <c:v>-220</c:v>
                </c:pt>
                <c:pt idx="56">
                  <c:v>-2293</c:v>
                </c:pt>
                <c:pt idx="57">
                  <c:v>-1477</c:v>
                </c:pt>
                <c:pt idx="58">
                  <c:v>-2225</c:v>
                </c:pt>
                <c:pt idx="59">
                  <c:v>-253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33-4784-90D1-C15E2EC47C2E}"/>
            </c:ext>
          </c:extLst>
        </c:ser>
        <c:ser>
          <c:idx val="3"/>
          <c:order val="3"/>
          <c:tx>
            <c:strRef>
              <c:f>Planejamento!$H$35</c:f>
              <c:strCache>
                <c:ptCount val="1"/>
                <c:pt idx="0">
                  <c:v>Ruptura 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val>
            <c:numRef>
              <c:f>Planejamento!$H$36:$H$95</c:f>
              <c:numCache>
                <c:formatCode>#,##0;[Red]#,##0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4-4D47-B49A-42727FF03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309568"/>
        <c:axId val="152248704"/>
      </c:barChart>
      <c:lineChart>
        <c:grouping val="standard"/>
        <c:varyColors val="0"/>
        <c:ser>
          <c:idx val="0"/>
          <c:order val="2"/>
          <c:tx>
            <c:strRef>
              <c:f>Planejamento!$C$35</c:f>
              <c:strCache>
                <c:ptCount val="1"/>
                <c:pt idx="0">
                  <c:v>Saldo Estoque</c:v>
                </c:pt>
              </c:strCache>
            </c:strRef>
          </c:tx>
          <c:spPr>
            <a:ln w="571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Planejamento!$B$36:$B$95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Planejamento!$C$36:$C$95</c:f>
              <c:numCache>
                <c:formatCode>#,##0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6307</c:v>
                </c:pt>
                <c:pt idx="7">
                  <c:v>4269</c:v>
                </c:pt>
                <c:pt idx="8">
                  <c:v>3781</c:v>
                </c:pt>
                <c:pt idx="9">
                  <c:v>3209</c:v>
                </c:pt>
                <c:pt idx="10">
                  <c:v>2721</c:v>
                </c:pt>
                <c:pt idx="11">
                  <c:v>8196</c:v>
                </c:pt>
                <c:pt idx="12">
                  <c:v>7752</c:v>
                </c:pt>
                <c:pt idx="13">
                  <c:v>5155</c:v>
                </c:pt>
                <c:pt idx="14">
                  <c:v>4267</c:v>
                </c:pt>
                <c:pt idx="15">
                  <c:v>2813</c:v>
                </c:pt>
                <c:pt idx="16">
                  <c:v>4893</c:v>
                </c:pt>
                <c:pt idx="17">
                  <c:v>4605</c:v>
                </c:pt>
                <c:pt idx="18">
                  <c:v>4129</c:v>
                </c:pt>
                <c:pt idx="19">
                  <c:v>3385</c:v>
                </c:pt>
                <c:pt idx="20">
                  <c:v>2909</c:v>
                </c:pt>
                <c:pt idx="21">
                  <c:v>9015</c:v>
                </c:pt>
                <c:pt idx="22">
                  <c:v>6791</c:v>
                </c:pt>
                <c:pt idx="23">
                  <c:v>6119</c:v>
                </c:pt>
                <c:pt idx="24">
                  <c:v>3197</c:v>
                </c:pt>
                <c:pt idx="25">
                  <c:v>2944</c:v>
                </c:pt>
                <c:pt idx="26">
                  <c:v>7101</c:v>
                </c:pt>
                <c:pt idx="27">
                  <c:v>6931</c:v>
                </c:pt>
                <c:pt idx="28">
                  <c:v>6711</c:v>
                </c:pt>
                <c:pt idx="29">
                  <c:v>4673</c:v>
                </c:pt>
                <c:pt idx="30">
                  <c:v>2997</c:v>
                </c:pt>
                <c:pt idx="31">
                  <c:v>10025</c:v>
                </c:pt>
                <c:pt idx="32">
                  <c:v>7027</c:v>
                </c:pt>
                <c:pt idx="33">
                  <c:v>5672</c:v>
                </c:pt>
                <c:pt idx="34">
                  <c:v>5000</c:v>
                </c:pt>
                <c:pt idx="35">
                  <c:v>3040</c:v>
                </c:pt>
                <c:pt idx="36">
                  <c:v>9760</c:v>
                </c:pt>
                <c:pt idx="37">
                  <c:v>7536</c:v>
                </c:pt>
                <c:pt idx="38">
                  <c:v>7145</c:v>
                </c:pt>
                <c:pt idx="39">
                  <c:v>4981</c:v>
                </c:pt>
                <c:pt idx="40">
                  <c:v>3081</c:v>
                </c:pt>
                <c:pt idx="41">
                  <c:v>9735</c:v>
                </c:pt>
                <c:pt idx="42">
                  <c:v>6813</c:v>
                </c:pt>
                <c:pt idx="43">
                  <c:v>4999</c:v>
                </c:pt>
                <c:pt idx="44">
                  <c:v>3406</c:v>
                </c:pt>
                <c:pt idx="45">
                  <c:v>3130</c:v>
                </c:pt>
                <c:pt idx="46">
                  <c:v>8730</c:v>
                </c:pt>
                <c:pt idx="47">
                  <c:v>6322</c:v>
                </c:pt>
                <c:pt idx="48">
                  <c:v>5846</c:v>
                </c:pt>
                <c:pt idx="49">
                  <c:v>3933</c:v>
                </c:pt>
                <c:pt idx="50">
                  <c:v>3189</c:v>
                </c:pt>
                <c:pt idx="51">
                  <c:v>7532</c:v>
                </c:pt>
                <c:pt idx="52">
                  <c:v>5572</c:v>
                </c:pt>
                <c:pt idx="53">
                  <c:v>5113</c:v>
                </c:pt>
                <c:pt idx="54">
                  <c:v>3437</c:v>
                </c:pt>
                <c:pt idx="55">
                  <c:v>6317</c:v>
                </c:pt>
                <c:pt idx="56">
                  <c:v>4024</c:v>
                </c:pt>
                <c:pt idx="57">
                  <c:v>2547</c:v>
                </c:pt>
                <c:pt idx="58">
                  <c:v>322</c:v>
                </c:pt>
                <c:pt idx="59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33-4784-90D1-C15E2EC47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09568"/>
        <c:axId val="152248704"/>
      </c:lineChart>
      <c:catAx>
        <c:axId val="13530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pt-BR"/>
          </a:p>
        </c:txPr>
        <c:crossAx val="152248704"/>
        <c:crosses val="autoZero"/>
        <c:auto val="1"/>
        <c:lblAlgn val="ctr"/>
        <c:lblOffset val="100"/>
        <c:noMultiLvlLbl val="0"/>
      </c:catAx>
      <c:valAx>
        <c:axId val="15224870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1400" b="0"/>
            </a:pPr>
            <a:endParaRPr lang="pt-BR"/>
          </a:p>
        </c:txPr>
        <c:crossAx val="1353095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34905397072699207"/>
          <c:y val="0.92366037164063319"/>
          <c:w val="0.23190584833865124"/>
          <c:h val="4.473506350557023E-2"/>
        </c:manualLayout>
      </c:layout>
      <c:overlay val="0"/>
      <c:txPr>
        <a:bodyPr/>
        <a:lstStyle/>
        <a:p>
          <a:pPr>
            <a:defRPr sz="1400" b="1">
              <a:latin typeface="+mn-lt"/>
              <a:ea typeface="Tahoma" panose="020B0604030504040204" pitchFamily="34" charset="0"/>
              <a:cs typeface="Arial" panose="020B0604020202020204" pitchFamily="34" charset="0"/>
            </a:defRPr>
          </a:pPr>
          <a:endParaRPr lang="pt-BR"/>
        </a:p>
      </c:txPr>
    </c:legend>
    <c:plotVisOnly val="0"/>
    <c:dispBlanksAs val="gap"/>
    <c:showDLblsOverMax val="0"/>
  </c:chart>
  <c:spPr>
    <a:ln w="28575">
      <a:solidFill>
        <a:schemeClr val="tx1"/>
      </a:solidFill>
    </a:ln>
  </c:spPr>
  <c:printSettings>
    <c:headerFooter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5892388451443"/>
          <c:y val="0.18588030254242821"/>
          <c:w val="0.76624615776161731"/>
          <c:h val="0.73547803099731368"/>
        </c:manualLayout>
      </c:layout>
      <c:lineChart>
        <c:grouping val="standard"/>
        <c:varyColors val="0"/>
        <c:ser>
          <c:idx val="0"/>
          <c:order val="0"/>
          <c:tx>
            <c:strRef>
              <c:f>'Apoio Graf'!$C$33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5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97-489B-9DA8-8E9B1F2891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'Apoio Graf'!$C$34:$C$93</c:f>
              <c:numCache>
                <c:formatCode>#,##0.00_ ;[Red]\-#,##0.00\ 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-57337.5</c:v>
                </c:pt>
                <c:pt idx="7">
                  <c:v>-31862.5</c:v>
                </c:pt>
                <c:pt idx="8">
                  <c:v>-25762.5</c:v>
                </c:pt>
                <c:pt idx="9">
                  <c:v>-18612.5</c:v>
                </c:pt>
                <c:pt idx="10">
                  <c:v>-12512.5</c:v>
                </c:pt>
                <c:pt idx="11">
                  <c:v>-60200</c:v>
                </c:pt>
                <c:pt idx="12">
                  <c:v>-54650</c:v>
                </c:pt>
                <c:pt idx="13">
                  <c:v>-22187.5</c:v>
                </c:pt>
                <c:pt idx="14">
                  <c:v>-11087.5</c:v>
                </c:pt>
                <c:pt idx="15">
                  <c:v>7087.5</c:v>
                </c:pt>
                <c:pt idx="16">
                  <c:v>-13162.5</c:v>
                </c:pt>
                <c:pt idx="17">
                  <c:v>-9562.5</c:v>
                </c:pt>
                <c:pt idx="18">
                  <c:v>-3612.5</c:v>
                </c:pt>
                <c:pt idx="19">
                  <c:v>5687.5</c:v>
                </c:pt>
                <c:pt idx="20">
                  <c:v>11637.5</c:v>
                </c:pt>
                <c:pt idx="21">
                  <c:v>-45687.5</c:v>
                </c:pt>
                <c:pt idx="22">
                  <c:v>-17887.5</c:v>
                </c:pt>
                <c:pt idx="23">
                  <c:v>-9487.5</c:v>
                </c:pt>
                <c:pt idx="24">
                  <c:v>27037.5</c:v>
                </c:pt>
                <c:pt idx="25">
                  <c:v>30200</c:v>
                </c:pt>
                <c:pt idx="26">
                  <c:v>-5762.5</c:v>
                </c:pt>
                <c:pt idx="27">
                  <c:v>-3637.5</c:v>
                </c:pt>
                <c:pt idx="28">
                  <c:v>-887.5</c:v>
                </c:pt>
                <c:pt idx="29">
                  <c:v>24587.5</c:v>
                </c:pt>
                <c:pt idx="30">
                  <c:v>45537.5</c:v>
                </c:pt>
                <c:pt idx="31">
                  <c:v>-23062.5</c:v>
                </c:pt>
                <c:pt idx="32">
                  <c:v>14412.5</c:v>
                </c:pt>
                <c:pt idx="33">
                  <c:v>31350</c:v>
                </c:pt>
                <c:pt idx="34">
                  <c:v>39750</c:v>
                </c:pt>
                <c:pt idx="35">
                  <c:v>64250</c:v>
                </c:pt>
                <c:pt idx="36">
                  <c:v>5000</c:v>
                </c:pt>
                <c:pt idx="37">
                  <c:v>32800</c:v>
                </c:pt>
                <c:pt idx="38">
                  <c:v>37687.5</c:v>
                </c:pt>
                <c:pt idx="39">
                  <c:v>64737.5</c:v>
                </c:pt>
                <c:pt idx="40">
                  <c:v>88487.5</c:v>
                </c:pt>
                <c:pt idx="41">
                  <c:v>29562.5</c:v>
                </c:pt>
                <c:pt idx="42">
                  <c:v>66087.5</c:v>
                </c:pt>
                <c:pt idx="43">
                  <c:v>88762.5</c:v>
                </c:pt>
                <c:pt idx="44">
                  <c:v>108675</c:v>
                </c:pt>
                <c:pt idx="45">
                  <c:v>112125</c:v>
                </c:pt>
                <c:pt idx="46">
                  <c:v>60875</c:v>
                </c:pt>
                <c:pt idx="47">
                  <c:v>90975</c:v>
                </c:pt>
                <c:pt idx="48">
                  <c:v>96925</c:v>
                </c:pt>
                <c:pt idx="49">
                  <c:v>120837.5</c:v>
                </c:pt>
                <c:pt idx="50">
                  <c:v>130137.5</c:v>
                </c:pt>
                <c:pt idx="51">
                  <c:v>92350</c:v>
                </c:pt>
                <c:pt idx="52">
                  <c:v>116850</c:v>
                </c:pt>
                <c:pt idx="53">
                  <c:v>122587.5</c:v>
                </c:pt>
                <c:pt idx="54">
                  <c:v>143537.5</c:v>
                </c:pt>
                <c:pt idx="55">
                  <c:v>115287.5</c:v>
                </c:pt>
                <c:pt idx="56">
                  <c:v>143950</c:v>
                </c:pt>
                <c:pt idx="57">
                  <c:v>162412.5</c:v>
                </c:pt>
                <c:pt idx="58">
                  <c:v>190225</c:v>
                </c:pt>
                <c:pt idx="59">
                  <c:v>193387.5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4D-428B-9A30-C4B49BBDF6E0}"/>
            </c:ext>
          </c:extLst>
        </c:ser>
        <c:ser>
          <c:idx val="1"/>
          <c:order val="1"/>
          <c:tx>
            <c:strRef>
              <c:f>'Apoio Graf'!$D$33</c:f>
              <c:strCache>
                <c:ptCount val="1"/>
                <c:pt idx="0">
                  <c:v>Condição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'Apoio Graf'!$D$34:$D$93</c:f>
              <c:numCache>
                <c:formatCode>#,##0.00_ ;[Red]\-#,##0.00\ 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7087.5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5687.5</c:v>
                </c:pt>
                <c:pt idx="20">
                  <c:v>11637.5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27037.5</c:v>
                </c:pt>
                <c:pt idx="25">
                  <c:v>30200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24587.5</c:v>
                </c:pt>
                <c:pt idx="30">
                  <c:v>45537.5</c:v>
                </c:pt>
                <c:pt idx="31">
                  <c:v>#N/A</c:v>
                </c:pt>
                <c:pt idx="32">
                  <c:v>14412.5</c:v>
                </c:pt>
                <c:pt idx="33">
                  <c:v>31350</c:v>
                </c:pt>
                <c:pt idx="34">
                  <c:v>39750</c:v>
                </c:pt>
                <c:pt idx="35">
                  <c:v>64250</c:v>
                </c:pt>
                <c:pt idx="36">
                  <c:v>5000</c:v>
                </c:pt>
                <c:pt idx="37">
                  <c:v>32800</c:v>
                </c:pt>
                <c:pt idx="38">
                  <c:v>37687.5</c:v>
                </c:pt>
                <c:pt idx="39">
                  <c:v>64737.5</c:v>
                </c:pt>
                <c:pt idx="40">
                  <c:v>88487.5</c:v>
                </c:pt>
                <c:pt idx="41">
                  <c:v>29562.5</c:v>
                </c:pt>
                <c:pt idx="42">
                  <c:v>66087.5</c:v>
                </c:pt>
                <c:pt idx="43">
                  <c:v>88762.5</c:v>
                </c:pt>
                <c:pt idx="44">
                  <c:v>108675</c:v>
                </c:pt>
                <c:pt idx="45">
                  <c:v>112125</c:v>
                </c:pt>
                <c:pt idx="46">
                  <c:v>60875</c:v>
                </c:pt>
                <c:pt idx="47">
                  <c:v>90975</c:v>
                </c:pt>
                <c:pt idx="48">
                  <c:v>96925</c:v>
                </c:pt>
                <c:pt idx="49">
                  <c:v>120837.5</c:v>
                </c:pt>
                <c:pt idx="50">
                  <c:v>130137.5</c:v>
                </c:pt>
                <c:pt idx="51">
                  <c:v>92350</c:v>
                </c:pt>
                <c:pt idx="52">
                  <c:v>116850</c:v>
                </c:pt>
                <c:pt idx="53">
                  <c:v>122587.5</c:v>
                </c:pt>
                <c:pt idx="54">
                  <c:v>143537.5</c:v>
                </c:pt>
                <c:pt idx="55">
                  <c:v>115287.5</c:v>
                </c:pt>
                <c:pt idx="56">
                  <c:v>143950</c:v>
                </c:pt>
                <c:pt idx="57">
                  <c:v>162412.5</c:v>
                </c:pt>
                <c:pt idx="58">
                  <c:v>190225</c:v>
                </c:pt>
                <c:pt idx="59">
                  <c:v>193387.5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74D-428B-9A30-C4B49BBDF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773464"/>
        <c:axId val="398777072"/>
      </c:lineChart>
      <c:catAx>
        <c:axId val="398773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98777072"/>
        <c:crosses val="autoZero"/>
        <c:auto val="1"/>
        <c:lblAlgn val="ctr"/>
        <c:lblOffset val="100"/>
        <c:noMultiLvlLbl val="0"/>
      </c:catAx>
      <c:valAx>
        <c:axId val="398777072"/>
        <c:scaling>
          <c:orientation val="minMax"/>
        </c:scaling>
        <c:delete val="0"/>
        <c:axPos val="l"/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77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74747049748552"/>
          <c:y val="7.9586582738997602E-2"/>
          <c:w val="0.57368355673098115"/>
          <c:h val="0.81188625898055111"/>
        </c:manualLayout>
      </c:layout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Planejamento!$W$30:$X$30</c:f>
              <c:strCache>
                <c:ptCount val="2"/>
                <c:pt idx="0">
                  <c:v>FORNEC. B</c:v>
                </c:pt>
                <c:pt idx="1">
                  <c:v>FORNEC. A</c:v>
                </c:pt>
              </c:strCache>
            </c:strRef>
          </c:cat>
          <c:val>
            <c:numRef>
              <c:f>Planejamento!$W$31:$X$31</c:f>
              <c:numCache>
                <c:formatCode>#,##0</c:formatCode>
                <c:ptCount val="2"/>
                <c:pt idx="0">
                  <c:v>0</c:v>
                </c:pt>
                <c:pt idx="1">
                  <c:v>77700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3B-497B-8B88-B11ADBED41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633304752"/>
        <c:axId val="633307376"/>
      </c:barChart>
      <c:catAx>
        <c:axId val="633304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3307376"/>
        <c:crosses val="autoZero"/>
        <c:auto val="1"/>
        <c:lblAlgn val="ctr"/>
        <c:lblOffset val="100"/>
        <c:noMultiLvlLbl val="0"/>
      </c:catAx>
      <c:valAx>
        <c:axId val="633307376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63330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Distribuição</a:t>
            </a:r>
            <a:r>
              <a:rPr lang="pt-BR" sz="1800" b="1" baseline="0">
                <a:solidFill>
                  <a:sysClr val="windowText" lastClr="000000"/>
                </a:solidFill>
              </a:rPr>
              <a:t> Normal - Curva de Gauss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457558560030439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8142974929998286E-2"/>
          <c:y val="0.26430555555555557"/>
          <c:w val="0.88440768722122554"/>
          <c:h val="0.56702938174394868"/>
        </c:manualLayout>
      </c:layout>
      <c:areaChart>
        <c:grouping val="standard"/>
        <c:varyColors val="0"/>
        <c:ser>
          <c:idx val="0"/>
          <c:order val="0"/>
          <c:tx>
            <c:strRef>
              <c:f>'Apoio Graf'!$D$143</c:f>
              <c:strCache>
                <c:ptCount val="1"/>
                <c:pt idx="0">
                  <c:v>f(X)</c:v>
                </c:pt>
              </c:strCache>
            </c:strRef>
          </c:tx>
          <c:spPr>
            <a:solidFill>
              <a:srgbClr val="FF4F4F"/>
            </a:solidFill>
            <a:ln>
              <a:noFill/>
            </a:ln>
            <a:effectLst/>
          </c:spPr>
          <c:cat>
            <c:numRef>
              <c:f>'Apoio Graf'!$C$144:$C$194</c:f>
              <c:numCache>
                <c:formatCode>#,##0</c:formatCode>
                <c:ptCount val="51"/>
                <c:pt idx="0">
                  <c:v>-2327.8537665707318</c:v>
                </c:pt>
                <c:pt idx="1">
                  <c:v>-2180.173226705213</c:v>
                </c:pt>
                <c:pt idx="2">
                  <c:v>-2032.492686839694</c:v>
                </c:pt>
                <c:pt idx="3">
                  <c:v>-1884.812146974175</c:v>
                </c:pt>
                <c:pt idx="4">
                  <c:v>-1737.1316071086562</c:v>
                </c:pt>
                <c:pt idx="5">
                  <c:v>-1589.4510672431375</c:v>
                </c:pt>
                <c:pt idx="6">
                  <c:v>-1441.7705273776185</c:v>
                </c:pt>
                <c:pt idx="7">
                  <c:v>-1294.0899875120995</c:v>
                </c:pt>
                <c:pt idx="8">
                  <c:v>-1146.4094476465807</c:v>
                </c:pt>
                <c:pt idx="9">
                  <c:v>-998.72890778106193</c:v>
                </c:pt>
                <c:pt idx="10">
                  <c:v>-851.04836791554294</c:v>
                </c:pt>
                <c:pt idx="11">
                  <c:v>-703.36782805002395</c:v>
                </c:pt>
                <c:pt idx="12">
                  <c:v>-555.68728818450518</c:v>
                </c:pt>
                <c:pt idx="13">
                  <c:v>-408.00674831898641</c:v>
                </c:pt>
                <c:pt idx="14">
                  <c:v>-260.32620845346719</c:v>
                </c:pt>
                <c:pt idx="15">
                  <c:v>-112.64566858794842</c:v>
                </c:pt>
                <c:pt idx="16">
                  <c:v>35.034871277570346</c:v>
                </c:pt>
                <c:pt idx="17">
                  <c:v>182.71541114308911</c:v>
                </c:pt>
                <c:pt idx="18">
                  <c:v>330.39595100860788</c:v>
                </c:pt>
                <c:pt idx="19">
                  <c:v>478.0764908741271</c:v>
                </c:pt>
                <c:pt idx="20">
                  <c:v>625.75703073964587</c:v>
                </c:pt>
                <c:pt idx="21">
                  <c:v>773.43757060516464</c:v>
                </c:pt>
                <c:pt idx="22">
                  <c:v>921.11811047068386</c:v>
                </c:pt>
                <c:pt idx="23">
                  <c:v>1068.7986503362026</c:v>
                </c:pt>
                <c:pt idx="24">
                  <c:v>1216.4791902017214</c:v>
                </c:pt>
                <c:pt idx="25">
                  <c:v>1364.1597300672402</c:v>
                </c:pt>
                <c:pt idx="26">
                  <c:v>1511.8402699327589</c:v>
                </c:pt>
                <c:pt idx="27">
                  <c:v>1659.5208097982782</c:v>
                </c:pt>
                <c:pt idx="28">
                  <c:v>1807.2013496637974</c:v>
                </c:pt>
                <c:pt idx="29">
                  <c:v>1954.8818895293161</c:v>
                </c:pt>
                <c:pt idx="30">
                  <c:v>2102.5624293948349</c:v>
                </c:pt>
                <c:pt idx="31">
                  <c:v>2250.2429692603537</c:v>
                </c:pt>
                <c:pt idx="32">
                  <c:v>2397.9235091258724</c:v>
                </c:pt>
                <c:pt idx="33">
                  <c:v>2545.6040489913912</c:v>
                </c:pt>
                <c:pt idx="34">
                  <c:v>2693.28458885691</c:v>
                </c:pt>
                <c:pt idx="35">
                  <c:v>2840.9651287224287</c:v>
                </c:pt>
                <c:pt idx="36">
                  <c:v>2988.6456685879475</c:v>
                </c:pt>
                <c:pt idx="37">
                  <c:v>3136.3262084534672</c:v>
                </c:pt>
                <c:pt idx="38">
                  <c:v>3284.006748318986</c:v>
                </c:pt>
                <c:pt idx="39">
                  <c:v>3431.6872881845047</c:v>
                </c:pt>
                <c:pt idx="40">
                  <c:v>3579.3678280500235</c:v>
                </c:pt>
                <c:pt idx="41">
                  <c:v>3727.0483679155423</c:v>
                </c:pt>
                <c:pt idx="42">
                  <c:v>3874.728907781061</c:v>
                </c:pt>
                <c:pt idx="43">
                  <c:v>4022.4094476465798</c:v>
                </c:pt>
                <c:pt idx="44">
                  <c:v>4170.0899875120995</c:v>
                </c:pt>
                <c:pt idx="45">
                  <c:v>4317.7705273776182</c:v>
                </c:pt>
                <c:pt idx="46">
                  <c:v>4465.451067243137</c:v>
                </c:pt>
                <c:pt idx="47">
                  <c:v>4613.1316071086558</c:v>
                </c:pt>
                <c:pt idx="48">
                  <c:v>4760.8121469741745</c:v>
                </c:pt>
                <c:pt idx="49">
                  <c:v>4908.4926868396933</c:v>
                </c:pt>
                <c:pt idx="50">
                  <c:v>5056.1732267052121</c:v>
                </c:pt>
              </c:numCache>
            </c:numRef>
          </c:cat>
          <c:val>
            <c:numRef>
              <c:f>'Apoio Graf'!$D$144:$D$194</c:f>
              <c:numCache>
                <c:formatCode>0.0E+00</c:formatCode>
                <c:ptCount val="51"/>
                <c:pt idx="0">
                  <c:v>1.421512719934997E-7</c:v>
                </c:pt>
                <c:pt idx="1">
                  <c:v>2.6296996030920736E-7</c:v>
                </c:pt>
                <c:pt idx="2">
                  <c:v>4.7465200073106004E-7</c:v>
                </c:pt>
                <c:pt idx="3">
                  <c:v>8.3590760269390195E-7</c:v>
                </c:pt>
                <c:pt idx="4">
                  <c:v>1.4363326044355181E-6</c:v>
                </c:pt>
                <c:pt idx="5">
                  <c:v>2.40805025991816E-6</c:v>
                </c:pt>
                <c:pt idx="6">
                  <c:v>3.9390351805197284E-6</c:v>
                </c:pt>
                <c:pt idx="7">
                  <c:v>6.2867755648637995E-6</c:v>
                </c:pt>
                <c:pt idx="8">
                  <c:v>9.7899356635409707E-6</c:v>
                </c:pt>
                <c:pt idx="9">
                  <c:v>1.4874607112309597E-5</c:v>
                </c:pt>
                <c:pt idx="10">
                  <c:v>2.2050830625192441E-5</c:v>
                </c:pt>
                <c:pt idx="11">
                  <c:v>3.1894675487937432E-5</c:v>
                </c:pt>
                <c:pt idx="12">
                  <c:v>4.5011678325746999E-5</c:v>
                </c:pt>
                <c:pt idx="13">
                  <c:v>6.1979206195464156E-5</c:v>
                </c:pt>
                <c:pt idx="14">
                  <c:v>8.326847235889503E-5</c:v>
                </c:pt>
                <c:pt idx="15">
                  <c:v>1.0915131420056231E-4</c:v>
                </c:pt>
                <c:pt idx="16">
                  <c:v>1.3960183448291768E-4</c:v>
                </c:pt>
                <c:pt idx="17">
                  <c:v>1.7420758727479182E-4</c:v>
                </c:pt>
                <c:pt idx="18">
                  <c:v>2.1210787398984876E-4</c:v>
                </c:pt>
                <c:pt idx="19">
                  <c:v>2.5197665149711467E-4</c:v>
                </c:pt>
                <c:pt idx="20">
                  <c:v>2.9206370761293332E-4</c:v>
                </c:pt>
                <c:pt idx="21">
                  <c:v>3.3030007492180347E-4</c:v>
                </c:pt>
                <c:pt idx="22">
                  <c:v>3.6446307473133699E-4</c:v>
                </c:pt>
                <c:pt idx="23">
                  <c:v>3.923848054411469E-4</c:v>
                </c:pt>
                <c:pt idx="24">
                  <c:v>4.1217781515508163E-4</c:v>
                </c:pt>
                <c:pt idx="25">
                  <c:v>4.2244563637779266E-4</c:v>
                </c:pt>
                <c:pt idx="26">
                  <c:v>4.2244563637779266E-4</c:v>
                </c:pt>
                <c:pt idx="27">
                  <c:v>4.1217781515508173E-4</c:v>
                </c:pt>
                <c:pt idx="28">
                  <c:v>3.923848054411469E-4</c:v>
                </c:pt>
                <c:pt idx="29">
                  <c:v>3.6446307473133699E-4</c:v>
                </c:pt>
                <c:pt idx="30">
                  <c:v>3.3030007492180352E-4</c:v>
                </c:pt>
                <c:pt idx="31">
                  <c:v>2.9206370761293348E-4</c:v>
                </c:pt>
                <c:pt idx="32">
                  <c:v>2.5197665149711478E-4</c:v>
                </c:pt>
                <c:pt idx="33">
                  <c:v>2.1210787398984903E-4</c:v>
                </c:pt>
                <c:pt idx="34">
                  <c:v>1.7420758727479206E-4</c:v>
                </c:pt>
                <c:pt idx="35">
                  <c:v>1.3960183448291793E-4</c:v>
                </c:pt>
                <c:pt idx="36">
                  <c:v>1.091513142005625E-4</c:v>
                </c:pt>
                <c:pt idx="37">
                  <c:v>8.326847235889503E-5</c:v>
                </c:pt>
                <c:pt idx="38">
                  <c:v>6.1979206195464238E-5</c:v>
                </c:pt>
                <c:pt idx="39">
                  <c:v>4.501167832574704E-5</c:v>
                </c:pt>
                <c:pt idx="40">
                  <c:v>3.1894675487937466E-5</c:v>
                </c:pt>
                <c:pt idx="41">
                  <c:v>2.2050830625192492E-5</c:v>
                </c:pt>
                <c:pt idx="42">
                  <c:v>1.4874607112309629E-5</c:v>
                </c:pt>
                <c:pt idx="43">
                  <c:v>9.7899356635409961E-6</c:v>
                </c:pt>
                <c:pt idx="44">
                  <c:v>6.2867755648637995E-6</c:v>
                </c:pt>
                <c:pt idx="45">
                  <c:v>3.9390351805197284E-6</c:v>
                </c:pt>
                <c:pt idx="46">
                  <c:v>2.4080502599181616E-6</c:v>
                </c:pt>
                <c:pt idx="47">
                  <c:v>1.4363326044355194E-6</c:v>
                </c:pt>
                <c:pt idx="48">
                  <c:v>8.3590760269390353E-7</c:v>
                </c:pt>
                <c:pt idx="49">
                  <c:v>4.7465200073106131E-7</c:v>
                </c:pt>
                <c:pt idx="50">
                  <c:v>2.6296996030920831E-7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A-4906-A29A-B6B0DD7BF91E}"/>
            </c:ext>
          </c:extLst>
        </c:ser>
        <c:ser>
          <c:idx val="1"/>
          <c:order val="1"/>
          <c:tx>
            <c:strRef>
              <c:f>'Apoio Graf'!$E$143</c:f>
              <c:strCache>
                <c:ptCount val="1"/>
                <c:pt idx="0">
                  <c:v>Área Graf</c:v>
                </c:pt>
              </c:strCache>
            </c:strRef>
          </c:tx>
          <c:spPr>
            <a:solidFill>
              <a:srgbClr val="0070C0"/>
            </a:solidFill>
            <a:ln w="25400">
              <a:noFill/>
            </a:ln>
            <a:effectLst/>
          </c:spPr>
          <c:cat>
            <c:numRef>
              <c:f>'Apoio Graf'!$C$144:$C$194</c:f>
              <c:numCache>
                <c:formatCode>#,##0</c:formatCode>
                <c:ptCount val="51"/>
                <c:pt idx="0">
                  <c:v>-2327.8537665707318</c:v>
                </c:pt>
                <c:pt idx="1">
                  <c:v>-2180.173226705213</c:v>
                </c:pt>
                <c:pt idx="2">
                  <c:v>-2032.492686839694</c:v>
                </c:pt>
                <c:pt idx="3">
                  <c:v>-1884.812146974175</c:v>
                </c:pt>
                <c:pt idx="4">
                  <c:v>-1737.1316071086562</c:v>
                </c:pt>
                <c:pt idx="5">
                  <c:v>-1589.4510672431375</c:v>
                </c:pt>
                <c:pt idx="6">
                  <c:v>-1441.7705273776185</c:v>
                </c:pt>
                <c:pt idx="7">
                  <c:v>-1294.0899875120995</c:v>
                </c:pt>
                <c:pt idx="8">
                  <c:v>-1146.4094476465807</c:v>
                </c:pt>
                <c:pt idx="9">
                  <c:v>-998.72890778106193</c:v>
                </c:pt>
                <c:pt idx="10">
                  <c:v>-851.04836791554294</c:v>
                </c:pt>
                <c:pt idx="11">
                  <c:v>-703.36782805002395</c:v>
                </c:pt>
                <c:pt idx="12">
                  <c:v>-555.68728818450518</c:v>
                </c:pt>
                <c:pt idx="13">
                  <c:v>-408.00674831898641</c:v>
                </c:pt>
                <c:pt idx="14">
                  <c:v>-260.32620845346719</c:v>
                </c:pt>
                <c:pt idx="15">
                  <c:v>-112.64566858794842</c:v>
                </c:pt>
                <c:pt idx="16">
                  <c:v>35.034871277570346</c:v>
                </c:pt>
                <c:pt idx="17">
                  <c:v>182.71541114308911</c:v>
                </c:pt>
                <c:pt idx="18">
                  <c:v>330.39595100860788</c:v>
                </c:pt>
                <c:pt idx="19">
                  <c:v>478.0764908741271</c:v>
                </c:pt>
                <c:pt idx="20">
                  <c:v>625.75703073964587</c:v>
                </c:pt>
                <c:pt idx="21">
                  <c:v>773.43757060516464</c:v>
                </c:pt>
                <c:pt idx="22">
                  <c:v>921.11811047068386</c:v>
                </c:pt>
                <c:pt idx="23">
                  <c:v>1068.7986503362026</c:v>
                </c:pt>
                <c:pt idx="24">
                  <c:v>1216.4791902017214</c:v>
                </c:pt>
                <c:pt idx="25">
                  <c:v>1364.1597300672402</c:v>
                </c:pt>
                <c:pt idx="26">
                  <c:v>1511.8402699327589</c:v>
                </c:pt>
                <c:pt idx="27">
                  <c:v>1659.5208097982782</c:v>
                </c:pt>
                <c:pt idx="28">
                  <c:v>1807.2013496637974</c:v>
                </c:pt>
                <c:pt idx="29">
                  <c:v>1954.8818895293161</c:v>
                </c:pt>
                <c:pt idx="30">
                  <c:v>2102.5624293948349</c:v>
                </c:pt>
                <c:pt idx="31">
                  <c:v>2250.2429692603537</c:v>
                </c:pt>
                <c:pt idx="32">
                  <c:v>2397.9235091258724</c:v>
                </c:pt>
                <c:pt idx="33">
                  <c:v>2545.6040489913912</c:v>
                </c:pt>
                <c:pt idx="34">
                  <c:v>2693.28458885691</c:v>
                </c:pt>
                <c:pt idx="35">
                  <c:v>2840.9651287224287</c:v>
                </c:pt>
                <c:pt idx="36">
                  <c:v>2988.6456685879475</c:v>
                </c:pt>
                <c:pt idx="37">
                  <c:v>3136.3262084534672</c:v>
                </c:pt>
                <c:pt idx="38">
                  <c:v>3284.006748318986</c:v>
                </c:pt>
                <c:pt idx="39">
                  <c:v>3431.6872881845047</c:v>
                </c:pt>
                <c:pt idx="40">
                  <c:v>3579.3678280500235</c:v>
                </c:pt>
                <c:pt idx="41">
                  <c:v>3727.0483679155423</c:v>
                </c:pt>
                <c:pt idx="42">
                  <c:v>3874.728907781061</c:v>
                </c:pt>
                <c:pt idx="43">
                  <c:v>4022.4094476465798</c:v>
                </c:pt>
                <c:pt idx="44">
                  <c:v>4170.0899875120995</c:v>
                </c:pt>
                <c:pt idx="45">
                  <c:v>4317.7705273776182</c:v>
                </c:pt>
                <c:pt idx="46">
                  <c:v>4465.451067243137</c:v>
                </c:pt>
                <c:pt idx="47">
                  <c:v>4613.1316071086558</c:v>
                </c:pt>
                <c:pt idx="48">
                  <c:v>4760.8121469741745</c:v>
                </c:pt>
                <c:pt idx="49">
                  <c:v>4908.4926868396933</c:v>
                </c:pt>
                <c:pt idx="50">
                  <c:v>5056.1732267052121</c:v>
                </c:pt>
              </c:numCache>
            </c:numRef>
          </c:cat>
          <c:val>
            <c:numRef>
              <c:f>'Apoio Graf'!$E$144:$E$194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2.9206370761293332E-4</c:v>
                </c:pt>
                <c:pt idx="21">
                  <c:v>3.3030007492180347E-4</c:v>
                </c:pt>
                <c:pt idx="22">
                  <c:v>3.6446307473133699E-4</c:v>
                </c:pt>
                <c:pt idx="23">
                  <c:v>3.923848054411469E-4</c:v>
                </c:pt>
                <c:pt idx="24">
                  <c:v>4.1217781515508163E-4</c:v>
                </c:pt>
                <c:pt idx="25">
                  <c:v>4.2244563637779266E-4</c:v>
                </c:pt>
                <c:pt idx="26">
                  <c:v>4.2244563637779266E-4</c:v>
                </c:pt>
                <c:pt idx="27">
                  <c:v>4.1217781515508173E-4</c:v>
                </c:pt>
                <c:pt idx="28">
                  <c:v>3.923848054411469E-4</c:v>
                </c:pt>
                <c:pt idx="29">
                  <c:v>3.6446307473133699E-4</c:v>
                </c:pt>
                <c:pt idx="30">
                  <c:v>3.3030007492180352E-4</c:v>
                </c:pt>
                <c:pt idx="31">
                  <c:v>2.9206370761293348E-4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A-4906-A29A-B6B0DD7B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423288"/>
        <c:axId val="405421320"/>
      </c:areaChart>
      <c:catAx>
        <c:axId val="405423288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5421320"/>
        <c:crosses val="autoZero"/>
        <c:auto val="1"/>
        <c:lblAlgn val="ctr"/>
        <c:lblOffset val="50"/>
        <c:tickLblSkip val="5"/>
        <c:noMultiLvlLbl val="0"/>
      </c:catAx>
      <c:valAx>
        <c:axId val="405421320"/>
        <c:scaling>
          <c:orientation val="minMax"/>
        </c:scaling>
        <c:delete val="1"/>
        <c:axPos val="l"/>
        <c:numFmt formatCode="0.0E+00" sourceLinked="1"/>
        <c:majorTickMark val="none"/>
        <c:minorTickMark val="none"/>
        <c:tickLblPos val="nextTo"/>
        <c:crossAx val="405423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baseline="0">
                <a:solidFill>
                  <a:schemeClr val="tx1"/>
                </a:solidFill>
              </a:rPr>
              <a:t>Demanda/dia</a:t>
            </a:r>
            <a:endParaRPr lang="pt-BR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43255166996182598"/>
          <c:y val="2.57341962462769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6766675327630682E-2"/>
          <c:y val="0.1044601017272906"/>
          <c:w val="0.92380624902616171"/>
          <c:h val="0.69631411777928431"/>
        </c:manualLayout>
      </c:layout>
      <c:lineChart>
        <c:grouping val="standard"/>
        <c:varyColors val="0"/>
        <c:ser>
          <c:idx val="0"/>
          <c:order val="0"/>
          <c:tx>
            <c:strRef>
              <c:f>'Apoio Graf'!$B$200</c:f>
              <c:strCache>
                <c:ptCount val="1"/>
                <c:pt idx="0">
                  <c:v>Demanda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</c:marker>
          <c:cat>
            <c:numRef>
              <c:f>'Apoio Graf'!$C$199:$BJ$199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'Apoio Graf'!$C$200:$BJ$200</c:f>
              <c:numCache>
                <c:formatCode>#,##0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2293</c:v>
                </c:pt>
                <c:pt idx="7">
                  <c:v>2038</c:v>
                </c:pt>
                <c:pt idx="8">
                  <c:v>488</c:v>
                </c:pt>
                <c:pt idx="9">
                  <c:v>572</c:v>
                </c:pt>
                <c:pt idx="10">
                  <c:v>488</c:v>
                </c:pt>
                <c:pt idx="11">
                  <c:v>2825</c:v>
                </c:pt>
                <c:pt idx="12">
                  <c:v>444</c:v>
                </c:pt>
                <c:pt idx="13">
                  <c:v>2597</c:v>
                </c:pt>
                <c:pt idx="14">
                  <c:v>888</c:v>
                </c:pt>
                <c:pt idx="15">
                  <c:v>1454</c:v>
                </c:pt>
                <c:pt idx="16">
                  <c:v>220</c:v>
                </c:pt>
                <c:pt idx="17">
                  <c:v>288</c:v>
                </c:pt>
                <c:pt idx="18">
                  <c:v>476</c:v>
                </c:pt>
                <c:pt idx="19">
                  <c:v>744</c:v>
                </c:pt>
                <c:pt idx="20">
                  <c:v>476</c:v>
                </c:pt>
                <c:pt idx="21">
                  <c:v>1494</c:v>
                </c:pt>
                <c:pt idx="22">
                  <c:v>2224</c:v>
                </c:pt>
                <c:pt idx="23">
                  <c:v>672</c:v>
                </c:pt>
                <c:pt idx="24">
                  <c:v>2922</c:v>
                </c:pt>
                <c:pt idx="25">
                  <c:v>253</c:v>
                </c:pt>
                <c:pt idx="26">
                  <c:v>2243</c:v>
                </c:pt>
                <c:pt idx="27">
                  <c:v>170</c:v>
                </c:pt>
                <c:pt idx="28">
                  <c:v>220</c:v>
                </c:pt>
                <c:pt idx="29">
                  <c:v>2038</c:v>
                </c:pt>
                <c:pt idx="30">
                  <c:v>1676</c:v>
                </c:pt>
                <c:pt idx="31">
                  <c:v>672</c:v>
                </c:pt>
                <c:pt idx="32">
                  <c:v>2998</c:v>
                </c:pt>
                <c:pt idx="33">
                  <c:v>1355</c:v>
                </c:pt>
                <c:pt idx="34">
                  <c:v>672</c:v>
                </c:pt>
                <c:pt idx="35">
                  <c:v>1960</c:v>
                </c:pt>
                <c:pt idx="36">
                  <c:v>3180</c:v>
                </c:pt>
                <c:pt idx="37">
                  <c:v>2224</c:v>
                </c:pt>
                <c:pt idx="38">
                  <c:v>391</c:v>
                </c:pt>
                <c:pt idx="39">
                  <c:v>2164</c:v>
                </c:pt>
                <c:pt idx="40">
                  <c:v>1900</c:v>
                </c:pt>
                <c:pt idx="41">
                  <c:v>3046</c:v>
                </c:pt>
                <c:pt idx="42">
                  <c:v>2922</c:v>
                </c:pt>
                <c:pt idx="43">
                  <c:v>1814</c:v>
                </c:pt>
                <c:pt idx="44">
                  <c:v>1593</c:v>
                </c:pt>
                <c:pt idx="45">
                  <c:v>276</c:v>
                </c:pt>
                <c:pt idx="46">
                  <c:v>1900</c:v>
                </c:pt>
                <c:pt idx="47">
                  <c:v>2408</c:v>
                </c:pt>
                <c:pt idx="48">
                  <c:v>476</c:v>
                </c:pt>
                <c:pt idx="49">
                  <c:v>1913</c:v>
                </c:pt>
                <c:pt idx="50">
                  <c:v>744</c:v>
                </c:pt>
                <c:pt idx="51">
                  <c:v>2257</c:v>
                </c:pt>
                <c:pt idx="52">
                  <c:v>1960</c:v>
                </c:pt>
                <c:pt idx="53">
                  <c:v>459</c:v>
                </c:pt>
                <c:pt idx="54">
                  <c:v>1676</c:v>
                </c:pt>
                <c:pt idx="55">
                  <c:v>220</c:v>
                </c:pt>
                <c:pt idx="56">
                  <c:v>2293</c:v>
                </c:pt>
                <c:pt idx="57">
                  <c:v>1477</c:v>
                </c:pt>
                <c:pt idx="58">
                  <c:v>2225</c:v>
                </c:pt>
                <c:pt idx="59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F-4DB3-9D99-165ECCB6EA07}"/>
            </c:ext>
          </c:extLst>
        </c:ser>
        <c:ser>
          <c:idx val="1"/>
          <c:order val="1"/>
          <c:tx>
            <c:strRef>
              <c:f>'Apoio Graf'!$B$201</c:f>
              <c:strCache>
                <c:ptCount val="1"/>
                <c:pt idx="0">
                  <c:v>DesvPad (-)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'Apoio Graf'!$C$199:$BJ$199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'Apoio Graf'!$C$201:$BJ$201</c:f>
              <c:numCache>
                <c:formatCode>#,##0</c:formatCode>
                <c:ptCount val="60"/>
                <c:pt idx="0">
                  <c:v>496.53655835731706</c:v>
                </c:pt>
                <c:pt idx="1">
                  <c:v>496.53655835731706</c:v>
                </c:pt>
                <c:pt idx="2">
                  <c:v>496.53655835731706</c:v>
                </c:pt>
                <c:pt idx="3">
                  <c:v>496.53655835731706</c:v>
                </c:pt>
                <c:pt idx="4">
                  <c:v>496.53655835731706</c:v>
                </c:pt>
                <c:pt idx="5">
                  <c:v>496.53655835731706</c:v>
                </c:pt>
                <c:pt idx="6">
                  <c:v>496.53655835731706</c:v>
                </c:pt>
                <c:pt idx="7">
                  <c:v>496.53655835731706</c:v>
                </c:pt>
                <c:pt idx="8">
                  <c:v>496.53655835731706</c:v>
                </c:pt>
                <c:pt idx="9">
                  <c:v>496.53655835731706</c:v>
                </c:pt>
                <c:pt idx="10">
                  <c:v>496.53655835731706</c:v>
                </c:pt>
                <c:pt idx="11">
                  <c:v>496.53655835731706</c:v>
                </c:pt>
                <c:pt idx="12">
                  <c:v>496.53655835731706</c:v>
                </c:pt>
                <c:pt idx="13">
                  <c:v>496.53655835731706</c:v>
                </c:pt>
                <c:pt idx="14">
                  <c:v>496.53655835731706</c:v>
                </c:pt>
                <c:pt idx="15">
                  <c:v>496.53655835731706</c:v>
                </c:pt>
                <c:pt idx="16">
                  <c:v>496.53655835731706</c:v>
                </c:pt>
                <c:pt idx="17">
                  <c:v>496.53655835731706</c:v>
                </c:pt>
                <c:pt idx="18">
                  <c:v>496.53655835731706</c:v>
                </c:pt>
                <c:pt idx="19">
                  <c:v>496.53655835731706</c:v>
                </c:pt>
                <c:pt idx="20">
                  <c:v>496.53655835731706</c:v>
                </c:pt>
                <c:pt idx="21">
                  <c:v>496.53655835731706</c:v>
                </c:pt>
                <c:pt idx="22">
                  <c:v>496.53655835731706</c:v>
                </c:pt>
                <c:pt idx="23">
                  <c:v>496.53655835731706</c:v>
                </c:pt>
                <c:pt idx="24">
                  <c:v>496.53655835731706</c:v>
                </c:pt>
                <c:pt idx="25">
                  <c:v>496.53655835731706</c:v>
                </c:pt>
                <c:pt idx="26">
                  <c:v>496.53655835731706</c:v>
                </c:pt>
                <c:pt idx="27">
                  <c:v>496.53655835731706</c:v>
                </c:pt>
                <c:pt idx="28">
                  <c:v>496.53655835731706</c:v>
                </c:pt>
                <c:pt idx="29">
                  <c:v>496.53655835731706</c:v>
                </c:pt>
                <c:pt idx="30">
                  <c:v>496.53655835731706</c:v>
                </c:pt>
                <c:pt idx="31">
                  <c:v>496.53655835731706</c:v>
                </c:pt>
                <c:pt idx="32">
                  <c:v>496.53655835731706</c:v>
                </c:pt>
                <c:pt idx="33">
                  <c:v>496.53655835731706</c:v>
                </c:pt>
                <c:pt idx="34">
                  <c:v>496.53655835731706</c:v>
                </c:pt>
                <c:pt idx="35">
                  <c:v>496.53655835731706</c:v>
                </c:pt>
                <c:pt idx="36">
                  <c:v>496.53655835731706</c:v>
                </c:pt>
                <c:pt idx="37">
                  <c:v>496.53655835731706</c:v>
                </c:pt>
                <c:pt idx="38">
                  <c:v>496.53655835731706</c:v>
                </c:pt>
                <c:pt idx="39">
                  <c:v>496.53655835731706</c:v>
                </c:pt>
                <c:pt idx="40">
                  <c:v>496.53655835731706</c:v>
                </c:pt>
                <c:pt idx="41">
                  <c:v>496.53655835731706</c:v>
                </c:pt>
                <c:pt idx="42">
                  <c:v>496.53655835731706</c:v>
                </c:pt>
                <c:pt idx="43">
                  <c:v>496.53655835731706</c:v>
                </c:pt>
                <c:pt idx="44">
                  <c:v>496.53655835731706</c:v>
                </c:pt>
                <c:pt idx="45">
                  <c:v>496.53655835731706</c:v>
                </c:pt>
                <c:pt idx="46">
                  <c:v>496.53655835731706</c:v>
                </c:pt>
                <c:pt idx="47">
                  <c:v>496.53655835731706</c:v>
                </c:pt>
                <c:pt idx="48">
                  <c:v>496.53655835731706</c:v>
                </c:pt>
                <c:pt idx="49">
                  <c:v>496.53655835731706</c:v>
                </c:pt>
                <c:pt idx="50">
                  <c:v>496.53655835731706</c:v>
                </c:pt>
                <c:pt idx="51">
                  <c:v>496.53655835731706</c:v>
                </c:pt>
                <c:pt idx="52">
                  <c:v>496.53655835731706</c:v>
                </c:pt>
                <c:pt idx="53">
                  <c:v>496.53655835731706</c:v>
                </c:pt>
                <c:pt idx="54">
                  <c:v>496.53655835731706</c:v>
                </c:pt>
                <c:pt idx="55">
                  <c:v>496.53655835731706</c:v>
                </c:pt>
                <c:pt idx="56">
                  <c:v>496.53655835731706</c:v>
                </c:pt>
                <c:pt idx="57">
                  <c:v>496.53655835731706</c:v>
                </c:pt>
                <c:pt idx="58">
                  <c:v>496.53655835731706</c:v>
                </c:pt>
                <c:pt idx="59">
                  <c:v>496.53655835731706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F-4DB3-9D99-165ECCB6EA07}"/>
            </c:ext>
          </c:extLst>
        </c:ser>
        <c:ser>
          <c:idx val="2"/>
          <c:order val="2"/>
          <c:tx>
            <c:strRef>
              <c:f>'Apoio Graf'!$B$202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'Apoio Graf'!$C$199:$BJ$199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'Apoio Graf'!$C$202:$BJ$202</c:f>
              <c:numCache>
                <c:formatCode>#,##0</c:formatCode>
                <c:ptCount val="60"/>
                <c:pt idx="0">
                  <c:v>1438</c:v>
                </c:pt>
                <c:pt idx="1">
                  <c:v>1438</c:v>
                </c:pt>
                <c:pt idx="2">
                  <c:v>1438</c:v>
                </c:pt>
                <c:pt idx="3">
                  <c:v>1438</c:v>
                </c:pt>
                <c:pt idx="4">
                  <c:v>1438</c:v>
                </c:pt>
                <c:pt idx="5">
                  <c:v>1438</c:v>
                </c:pt>
                <c:pt idx="6">
                  <c:v>1438</c:v>
                </c:pt>
                <c:pt idx="7">
                  <c:v>1438</c:v>
                </c:pt>
                <c:pt idx="8">
                  <c:v>1438</c:v>
                </c:pt>
                <c:pt idx="9">
                  <c:v>1438</c:v>
                </c:pt>
                <c:pt idx="10">
                  <c:v>1438</c:v>
                </c:pt>
                <c:pt idx="11">
                  <c:v>1438</c:v>
                </c:pt>
                <c:pt idx="12">
                  <c:v>1438</c:v>
                </c:pt>
                <c:pt idx="13">
                  <c:v>1438</c:v>
                </c:pt>
                <c:pt idx="14">
                  <c:v>1438</c:v>
                </c:pt>
                <c:pt idx="15">
                  <c:v>1438</c:v>
                </c:pt>
                <c:pt idx="16">
                  <c:v>1438</c:v>
                </c:pt>
                <c:pt idx="17">
                  <c:v>1438</c:v>
                </c:pt>
                <c:pt idx="18">
                  <c:v>1438</c:v>
                </c:pt>
                <c:pt idx="19">
                  <c:v>1438</c:v>
                </c:pt>
                <c:pt idx="20">
                  <c:v>1438</c:v>
                </c:pt>
                <c:pt idx="21">
                  <c:v>1438</c:v>
                </c:pt>
                <c:pt idx="22">
                  <c:v>1438</c:v>
                </c:pt>
                <c:pt idx="23">
                  <c:v>1438</c:v>
                </c:pt>
                <c:pt idx="24">
                  <c:v>1438</c:v>
                </c:pt>
                <c:pt idx="25">
                  <c:v>1438</c:v>
                </c:pt>
                <c:pt idx="26">
                  <c:v>1438</c:v>
                </c:pt>
                <c:pt idx="27">
                  <c:v>1438</c:v>
                </c:pt>
                <c:pt idx="28">
                  <c:v>1438</c:v>
                </c:pt>
                <c:pt idx="29">
                  <c:v>1438</c:v>
                </c:pt>
                <c:pt idx="30">
                  <c:v>1438</c:v>
                </c:pt>
                <c:pt idx="31">
                  <c:v>1438</c:v>
                </c:pt>
                <c:pt idx="32">
                  <c:v>1438</c:v>
                </c:pt>
                <c:pt idx="33">
                  <c:v>1438</c:v>
                </c:pt>
                <c:pt idx="34">
                  <c:v>1438</c:v>
                </c:pt>
                <c:pt idx="35">
                  <c:v>1438</c:v>
                </c:pt>
                <c:pt idx="36">
                  <c:v>1438</c:v>
                </c:pt>
                <c:pt idx="37">
                  <c:v>1438</c:v>
                </c:pt>
                <c:pt idx="38">
                  <c:v>1438</c:v>
                </c:pt>
                <c:pt idx="39">
                  <c:v>1438</c:v>
                </c:pt>
                <c:pt idx="40">
                  <c:v>1438</c:v>
                </c:pt>
                <c:pt idx="41">
                  <c:v>1438</c:v>
                </c:pt>
                <c:pt idx="42">
                  <c:v>1438</c:v>
                </c:pt>
                <c:pt idx="43">
                  <c:v>1438</c:v>
                </c:pt>
                <c:pt idx="44">
                  <c:v>1438</c:v>
                </c:pt>
                <c:pt idx="45">
                  <c:v>1438</c:v>
                </c:pt>
                <c:pt idx="46">
                  <c:v>1438</c:v>
                </c:pt>
                <c:pt idx="47">
                  <c:v>1438</c:v>
                </c:pt>
                <c:pt idx="48">
                  <c:v>1438</c:v>
                </c:pt>
                <c:pt idx="49">
                  <c:v>1438</c:v>
                </c:pt>
                <c:pt idx="50">
                  <c:v>1438</c:v>
                </c:pt>
                <c:pt idx="51">
                  <c:v>1438</c:v>
                </c:pt>
                <c:pt idx="52">
                  <c:v>1438</c:v>
                </c:pt>
                <c:pt idx="53">
                  <c:v>1438</c:v>
                </c:pt>
                <c:pt idx="54">
                  <c:v>1438</c:v>
                </c:pt>
                <c:pt idx="55">
                  <c:v>1438</c:v>
                </c:pt>
                <c:pt idx="56">
                  <c:v>1438</c:v>
                </c:pt>
                <c:pt idx="57">
                  <c:v>1438</c:v>
                </c:pt>
                <c:pt idx="58">
                  <c:v>1438</c:v>
                </c:pt>
                <c:pt idx="59">
                  <c:v>1438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AF-4DB3-9D99-165ECCB6EA07}"/>
            </c:ext>
          </c:extLst>
        </c:ser>
        <c:ser>
          <c:idx val="3"/>
          <c:order val="3"/>
          <c:tx>
            <c:strRef>
              <c:f>'Apoio Graf'!$B$203</c:f>
              <c:strCache>
                <c:ptCount val="1"/>
                <c:pt idx="0">
                  <c:v>DesvPad (+)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'Apoio Graf'!$C$199:$BJ$199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'Apoio Graf'!$C$203:$BJ$203</c:f>
              <c:numCache>
                <c:formatCode>#,##0</c:formatCode>
                <c:ptCount val="60"/>
                <c:pt idx="0">
                  <c:v>2379.4634416426829</c:v>
                </c:pt>
                <c:pt idx="1">
                  <c:v>2379.4634416426829</c:v>
                </c:pt>
                <c:pt idx="2">
                  <c:v>2379.4634416426829</c:v>
                </c:pt>
                <c:pt idx="3">
                  <c:v>2379.4634416426829</c:v>
                </c:pt>
                <c:pt idx="4">
                  <c:v>2379.4634416426829</c:v>
                </c:pt>
                <c:pt idx="5">
                  <c:v>2379.4634416426829</c:v>
                </c:pt>
                <c:pt idx="6">
                  <c:v>2379.4634416426829</c:v>
                </c:pt>
                <c:pt idx="7">
                  <c:v>2379.4634416426829</c:v>
                </c:pt>
                <c:pt idx="8">
                  <c:v>2379.4634416426829</c:v>
                </c:pt>
                <c:pt idx="9">
                  <c:v>2379.4634416426829</c:v>
                </c:pt>
                <c:pt idx="10">
                  <c:v>2379.4634416426829</c:v>
                </c:pt>
                <c:pt idx="11">
                  <c:v>2379.4634416426829</c:v>
                </c:pt>
                <c:pt idx="12">
                  <c:v>2379.4634416426829</c:v>
                </c:pt>
                <c:pt idx="13">
                  <c:v>2379.4634416426829</c:v>
                </c:pt>
                <c:pt idx="14">
                  <c:v>2379.4634416426829</c:v>
                </c:pt>
                <c:pt idx="15">
                  <c:v>2379.4634416426829</c:v>
                </c:pt>
                <c:pt idx="16">
                  <c:v>2379.4634416426829</c:v>
                </c:pt>
                <c:pt idx="17">
                  <c:v>2379.4634416426829</c:v>
                </c:pt>
                <c:pt idx="18">
                  <c:v>2379.4634416426829</c:v>
                </c:pt>
                <c:pt idx="19">
                  <c:v>2379.4634416426829</c:v>
                </c:pt>
                <c:pt idx="20">
                  <c:v>2379.4634416426829</c:v>
                </c:pt>
                <c:pt idx="21">
                  <c:v>2379.4634416426829</c:v>
                </c:pt>
                <c:pt idx="22">
                  <c:v>2379.4634416426829</c:v>
                </c:pt>
                <c:pt idx="23">
                  <c:v>2379.4634416426829</c:v>
                </c:pt>
                <c:pt idx="24">
                  <c:v>2379.4634416426829</c:v>
                </c:pt>
                <c:pt idx="25">
                  <c:v>2379.4634416426829</c:v>
                </c:pt>
                <c:pt idx="26">
                  <c:v>2379.4634416426829</c:v>
                </c:pt>
                <c:pt idx="27">
                  <c:v>2379.4634416426829</c:v>
                </c:pt>
                <c:pt idx="28">
                  <c:v>2379.4634416426829</c:v>
                </c:pt>
                <c:pt idx="29">
                  <c:v>2379.4634416426829</c:v>
                </c:pt>
                <c:pt idx="30">
                  <c:v>2379.4634416426829</c:v>
                </c:pt>
                <c:pt idx="31">
                  <c:v>2379.4634416426829</c:v>
                </c:pt>
                <c:pt idx="32">
                  <c:v>2379.4634416426829</c:v>
                </c:pt>
                <c:pt idx="33">
                  <c:v>2379.4634416426829</c:v>
                </c:pt>
                <c:pt idx="34">
                  <c:v>2379.4634416426829</c:v>
                </c:pt>
                <c:pt idx="35">
                  <c:v>2379.4634416426829</c:v>
                </c:pt>
                <c:pt idx="36">
                  <c:v>2379.4634416426829</c:v>
                </c:pt>
                <c:pt idx="37">
                  <c:v>2379.4634416426829</c:v>
                </c:pt>
                <c:pt idx="38">
                  <c:v>2379.4634416426829</c:v>
                </c:pt>
                <c:pt idx="39">
                  <c:v>2379.4634416426829</c:v>
                </c:pt>
                <c:pt idx="40">
                  <c:v>2379.4634416426829</c:v>
                </c:pt>
                <c:pt idx="41">
                  <c:v>2379.4634416426829</c:v>
                </c:pt>
                <c:pt idx="42">
                  <c:v>2379.4634416426829</c:v>
                </c:pt>
                <c:pt idx="43">
                  <c:v>2379.4634416426829</c:v>
                </c:pt>
                <c:pt idx="44">
                  <c:v>2379.4634416426829</c:v>
                </c:pt>
                <c:pt idx="45">
                  <c:v>2379.4634416426829</c:v>
                </c:pt>
                <c:pt idx="46">
                  <c:v>2379.4634416426829</c:v>
                </c:pt>
                <c:pt idx="47">
                  <c:v>2379.4634416426829</c:v>
                </c:pt>
                <c:pt idx="48">
                  <c:v>2379.4634416426829</c:v>
                </c:pt>
                <c:pt idx="49">
                  <c:v>2379.4634416426829</c:v>
                </c:pt>
                <c:pt idx="50">
                  <c:v>2379.4634416426829</c:v>
                </c:pt>
                <c:pt idx="51">
                  <c:v>2379.4634416426829</c:v>
                </c:pt>
                <c:pt idx="52">
                  <c:v>2379.4634416426829</c:v>
                </c:pt>
                <c:pt idx="53">
                  <c:v>2379.4634416426829</c:v>
                </c:pt>
                <c:pt idx="54">
                  <c:v>2379.4634416426829</c:v>
                </c:pt>
                <c:pt idx="55">
                  <c:v>2379.4634416426829</c:v>
                </c:pt>
                <c:pt idx="56">
                  <c:v>2379.4634416426829</c:v>
                </c:pt>
                <c:pt idx="57">
                  <c:v>2379.4634416426829</c:v>
                </c:pt>
                <c:pt idx="58">
                  <c:v>2379.4634416426829</c:v>
                </c:pt>
                <c:pt idx="59">
                  <c:v>2379.4634416426829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AF-4DB3-9D99-165ECCB6E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08648"/>
        <c:axId val="406200120"/>
      </c:lineChart>
      <c:catAx>
        <c:axId val="406208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200120"/>
        <c:crosses val="autoZero"/>
        <c:auto val="1"/>
        <c:lblAlgn val="ctr"/>
        <c:lblOffset val="100"/>
        <c:tickLblSkip val="8"/>
        <c:tickMarkSkip val="10"/>
        <c:noMultiLvlLbl val="0"/>
      </c:catAx>
      <c:valAx>
        <c:axId val="40620012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208648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239775301800411"/>
          <c:y val="0.82760044819028933"/>
          <c:w val="0.59155838419930251"/>
          <c:h val="9.5010722490675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>
                <a:latin typeface="Verdana" panose="020B0604030504040204" pitchFamily="34" charset="0"/>
                <a:ea typeface="Verdana" panose="020B0604030504040204" pitchFamily="34" charset="0"/>
                <a:cs typeface="Arial" panose="020B0604020202020204" pitchFamily="34" charset="0"/>
              </a:defRPr>
            </a:pPr>
            <a:r>
              <a:rPr lang="pt-BR" sz="1600" b="1">
                <a:latin typeface="Verdana" panose="020B0604030504040204" pitchFamily="34" charset="0"/>
                <a:ea typeface="Verdana" panose="020B0604030504040204" pitchFamily="34" charset="0"/>
                <a:cs typeface="Arial" panose="020B0604020202020204" pitchFamily="34" charset="0"/>
              </a:rPr>
              <a:t>Nível</a:t>
            </a:r>
            <a:r>
              <a:rPr lang="pt-BR" sz="1600" b="1" baseline="0">
                <a:latin typeface="Verdana" panose="020B0604030504040204" pitchFamily="34" charset="0"/>
                <a:ea typeface="Verdana" panose="020B0604030504040204" pitchFamily="34" charset="0"/>
                <a:cs typeface="Arial" panose="020B0604020202020204" pitchFamily="34" charset="0"/>
              </a:rPr>
              <a:t> de Serviço de </a:t>
            </a:r>
            <a:r>
              <a:rPr lang="pt-BR" sz="1800" b="1" baseline="0">
                <a:latin typeface="Verdana" panose="020B0604030504040204" pitchFamily="34" charset="0"/>
                <a:ea typeface="Verdana" panose="020B0604030504040204" pitchFamily="34" charset="0"/>
                <a:cs typeface="Arial" panose="020B0604020202020204" pitchFamily="34" charset="0"/>
              </a:rPr>
              <a:t>Atendimento</a:t>
            </a:r>
            <a:r>
              <a:rPr lang="pt-BR" sz="1600" b="1">
                <a:latin typeface="Verdana" panose="020B0604030504040204" pitchFamily="34" charset="0"/>
                <a:ea typeface="Verdana" panose="020B0604030504040204" pitchFamily="34" charset="0"/>
                <a:cs typeface="Arial" panose="020B0604020202020204" pitchFamily="34" charset="0"/>
              </a:rPr>
              <a:t> </a:t>
            </a:r>
          </a:p>
        </c:rich>
      </c:tx>
      <c:layout>
        <c:manualLayout>
          <c:xMode val="edge"/>
          <c:yMode val="edge"/>
          <c:x val="0.20185298844710198"/>
          <c:y val="1.12823066329247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767952451141945"/>
          <c:y val="9.6551345941922717E-2"/>
          <c:w val="0.68304907984851626"/>
          <c:h val="0.88331680975095395"/>
        </c:manualLayout>
      </c:layout>
      <c:doughnutChart>
        <c:varyColors val="1"/>
        <c:ser>
          <c:idx val="1"/>
          <c:order val="1"/>
          <c:dPt>
            <c:idx val="0"/>
            <c:bubble3D val="0"/>
            <c:spPr>
              <a:gradFill flip="none" rotWithShape="1">
                <a:gsLst>
                  <a:gs pos="71000">
                    <a:srgbClr val="FFFF00"/>
                  </a:gs>
                  <a:gs pos="91000">
                    <a:srgbClr val="00AC4E"/>
                  </a:gs>
                  <a:gs pos="85000">
                    <a:srgbClr val="FFFF00"/>
                  </a:gs>
                  <a:gs pos="100000">
                    <a:srgbClr val="009242"/>
                  </a:gs>
                  <a:gs pos="57000">
                    <a:srgbClr val="FF0000"/>
                  </a:gs>
                  <a:gs pos="41000">
                    <a:srgbClr val="FF0000"/>
                  </a:gs>
                </a:gsLst>
                <a:lin ang="2700000" scaled="1"/>
                <a:tileRect/>
              </a:gradFill>
            </c:spPr>
            <c:extLst>
              <c:ext xmlns:c16="http://schemas.microsoft.com/office/drawing/2014/chart" uri="{C3380CC4-5D6E-409C-BE32-E72D297353CC}">
                <c16:uniqueId val="{00000001-CCD1-49BD-ACC5-E1CED8B26078}"/>
              </c:ext>
            </c:extLst>
          </c:dPt>
          <c:dPt>
            <c:idx val="1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CCD1-49BD-ACC5-E1CED8B26078}"/>
              </c:ext>
            </c:extLst>
          </c:dPt>
          <c:val>
            <c:numRef>
              <c:f>'Apoio Graf'!$E$5:$E$6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D1-49BD-ACC5-E1CED8B26078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6-CCD1-49BD-ACC5-E1CED8B26078}"/>
              </c:ext>
            </c:extLst>
          </c:dPt>
          <c:dPt>
            <c:idx val="1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CCD1-49BD-ACC5-E1CED8B26078}"/>
              </c:ext>
            </c:extLst>
          </c:dPt>
          <c:val>
            <c:numRef>
              <c:f>'Apoio Graf'!$E$4:$E$5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D1-49BD-ACC5-E1CED8B26078}"/>
            </c:ext>
          </c:extLst>
        </c:ser>
        <c:ser>
          <c:idx val="3"/>
          <c:order val="3"/>
          <c:spPr>
            <a:noFill/>
          </c:spPr>
          <c:val>
            <c:numRef>
              <c:f>'Apoio Graf'!$E$4:$E$5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CD1-49BD-ACC5-E1CED8B26078}"/>
            </c:ext>
          </c:extLst>
        </c:ser>
        <c:ser>
          <c:idx val="0"/>
          <c:order val="0"/>
          <c:tx>
            <c:strRef>
              <c:f>'Apoio Graf'!$E$3</c:f>
              <c:strCache>
                <c:ptCount val="1"/>
                <c:pt idx="0">
                  <c:v>Vazio</c:v>
                </c:pt>
              </c:strCache>
            </c:strRef>
          </c:tx>
          <c:spPr>
            <a:gradFill flip="none" rotWithShape="1">
              <a:gsLst>
                <a:gs pos="0">
                  <a:srgbClr val="FF0000"/>
                </a:gs>
                <a:gs pos="50000">
                  <a:srgbClr val="FFFF00"/>
                </a:gs>
                <a:gs pos="10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</c:spPr>
          <c:dPt>
            <c:idx val="0"/>
            <c:bubble3D val="0"/>
            <c:explosion val="1"/>
            <c:spPr>
              <a:gradFill flip="none" rotWithShape="1">
                <a:gsLst>
                  <a:gs pos="66000">
                    <a:schemeClr val="bg1"/>
                  </a:gs>
                  <a:gs pos="74000">
                    <a:schemeClr val="tx1">
                      <a:lumMod val="95000"/>
                      <a:lumOff val="5000"/>
                    </a:schemeClr>
                  </a:gs>
                  <a:gs pos="59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</c:spPr>
            <c:extLst>
              <c:ext xmlns:c16="http://schemas.microsoft.com/office/drawing/2014/chart" uri="{C3380CC4-5D6E-409C-BE32-E72D297353CC}">
                <c16:uniqueId val="{0000000C-CCD1-49BD-ACC5-E1CED8B26078}"/>
              </c:ext>
            </c:extLst>
          </c:dPt>
          <c:val>
            <c:numRef>
              <c:f>'Apoio Graf'!$E$4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CD1-49BD-ACC5-E1CED8B26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catterChart>
        <c:scatterStyle val="smoothMarker"/>
        <c:varyColors val="0"/>
        <c:ser>
          <c:idx val="4"/>
          <c:order val="4"/>
          <c:marker>
            <c:symbol val="none"/>
          </c:marker>
          <c:dPt>
            <c:idx val="0"/>
            <c:marker>
              <c:symbol val="circle"/>
              <c:size val="5"/>
              <c:spPr>
                <a:noFill/>
                <a:ln w="38100">
                  <a:solidFill>
                    <a:schemeClr val="tx1">
                      <a:lumMod val="95000"/>
                      <a:lumOff val="5000"/>
                    </a:schemeClr>
                  </a:solidFill>
                  <a:tailEnd type="triangle" w="lg" len="med"/>
                </a:ln>
              </c:spPr>
            </c:marker>
            <c:bubble3D val="0"/>
            <c:spPr>
              <a:ln w="38100">
                <a:solidFill>
                  <a:schemeClr val="tx1">
                    <a:lumMod val="95000"/>
                    <a:lumOff val="5000"/>
                  </a:schemeClr>
                </a:solidFill>
                <a:tailEnd type="triangle" w="lg" len="med"/>
              </a:ln>
            </c:spPr>
            <c:extLst>
              <c:ext xmlns:c16="http://schemas.microsoft.com/office/drawing/2014/chart" uri="{C3380CC4-5D6E-409C-BE32-E72D297353CC}">
                <c16:uniqueId val="{0000000F-CCD1-49BD-ACC5-E1CED8B26078}"/>
              </c:ext>
            </c:extLst>
          </c:dPt>
          <c:dPt>
            <c:idx val="1"/>
            <c:bubble3D val="0"/>
            <c:spPr>
              <a:ln w="38100">
                <a:solidFill>
                  <a:schemeClr val="tx1">
                    <a:lumMod val="95000"/>
                    <a:lumOff val="5000"/>
                  </a:schemeClr>
                </a:solidFill>
                <a:tailEnd type="triangle" w="med" len="lg"/>
              </a:ln>
            </c:spPr>
            <c:extLst>
              <c:ext xmlns:c16="http://schemas.microsoft.com/office/drawing/2014/chart" uri="{C3380CC4-5D6E-409C-BE32-E72D297353CC}">
                <c16:uniqueId val="{00000011-CCD1-49BD-ACC5-E1CED8B26078}"/>
              </c:ext>
            </c:extLst>
          </c:dPt>
          <c:xVal>
            <c:numRef>
              <c:f>'Apoio Graf'!$D$10:$D$11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xVal>
          <c:yVal>
            <c:numRef>
              <c:f>'Apoio Graf'!$E$10:$E$11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1.22514845490862E-16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CD1-49BD-ACC5-E1CED8B26078}"/>
            </c:ext>
          </c:extLst>
        </c:ser>
        <c:ser>
          <c:idx val="5"/>
          <c:order val="5"/>
          <c:spPr>
            <a:ln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>
                    <a:lumMod val="95000"/>
                    <a:lumOff val="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7.135024745673188E-2"/>
                  <c:y val="-9.6313105995841832E-3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0%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CCD1-49BD-ACC5-E1CED8B26078}"/>
                </c:ext>
              </c:extLst>
            </c:dLbl>
            <c:dLbl>
              <c:idx val="1"/>
              <c:layout>
                <c:manualLayout>
                  <c:x val="-7.3713239954840942E-2"/>
                  <c:y val="-9.6313105995841832E-3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10%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CCD1-49BD-ACC5-E1CED8B26078}"/>
                </c:ext>
              </c:extLst>
            </c:dLbl>
            <c:dLbl>
              <c:idx val="2"/>
              <c:layout>
                <c:manualLayout>
                  <c:x val="-7.4181271524609682E-2"/>
                  <c:y val="-2.0976264975610556E-2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20%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CCD1-49BD-ACC5-E1CED8B26078}"/>
                </c:ext>
              </c:extLst>
            </c:dLbl>
            <c:dLbl>
              <c:idx val="3"/>
              <c:layout>
                <c:manualLayout>
                  <c:x val="-6.4481112516710667E-2"/>
                  <c:y val="-3.3608215660169291E-2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30%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CCD1-49BD-ACC5-E1CED8B26078}"/>
                </c:ext>
              </c:extLst>
            </c:dLbl>
            <c:dLbl>
              <c:idx val="4"/>
              <c:layout>
                <c:manualLayout>
                  <c:x val="-5.197748850039189E-2"/>
                  <c:y val="-3.981701715850966E-2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40%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CCD1-49BD-ACC5-E1CED8B260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b="1"/>
                      <a:t>50%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CCD1-49BD-ACC5-E1CED8B26078}"/>
                </c:ext>
              </c:extLst>
            </c:dLbl>
            <c:dLbl>
              <c:idx val="6"/>
              <c:layout>
                <c:manualLayout>
                  <c:x val="-2.0069316261283363E-2"/>
                  <c:y val="-3.4466490735245346E-2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60%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CCD1-49BD-ACC5-E1CED8B26078}"/>
                </c:ext>
              </c:extLst>
            </c:dLbl>
            <c:dLbl>
              <c:idx val="7"/>
              <c:layout>
                <c:manualLayout>
                  <c:x val="-1.2156358793429753E-2"/>
                  <c:y val="-2.8257721606614345E-2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70%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CCD1-49BD-ACC5-E1CED8B26078}"/>
                </c:ext>
              </c:extLst>
            </c:dLbl>
            <c:dLbl>
              <c:idx val="8"/>
              <c:layout>
                <c:manualLayout>
                  <c:x val="-7.5520456085422559E-3"/>
                  <c:y val="-2.2048952477983313E-2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80%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CCD1-49BD-ACC5-E1CED8B26078}"/>
                </c:ext>
              </c:extLst>
            </c:dLbl>
            <c:dLbl>
              <c:idx val="9"/>
              <c:layout>
                <c:manualLayout>
                  <c:x val="-2.869225916493376E-4"/>
                  <c:y val="-1.2735798785036768E-2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90%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CCD1-49BD-ACC5-E1CED8B26078}"/>
                </c:ext>
              </c:extLst>
            </c:dLbl>
            <c:dLbl>
              <c:idx val="10"/>
              <c:layout>
                <c:manualLayout>
                  <c:x val="-7.6353481918745511E-3"/>
                  <c:y val="-6.5271373957302035E-3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100%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CCD1-49BD-ACC5-E1CED8B260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'Apoio Graf'!$C$13:$C$23</c:f>
              <c:numCache>
                <c:formatCode>0.0</c:formatCode>
                <c:ptCount val="11"/>
                <c:pt idx="0">
                  <c:v>-1</c:v>
                </c:pt>
                <c:pt idx="1">
                  <c:v>-0.95105651629515353</c:v>
                </c:pt>
                <c:pt idx="2">
                  <c:v>-0.80901699437494745</c:v>
                </c:pt>
                <c:pt idx="3">
                  <c:v>-0.58778525229247303</c:v>
                </c:pt>
                <c:pt idx="4">
                  <c:v>-0.30901699437494745</c:v>
                </c:pt>
                <c:pt idx="5">
                  <c:v>-6.1257422745431001E-17</c:v>
                </c:pt>
                <c:pt idx="6">
                  <c:v>0.30901699437494734</c:v>
                </c:pt>
                <c:pt idx="7">
                  <c:v>0.58778525229247303</c:v>
                </c:pt>
                <c:pt idx="8">
                  <c:v>0.80901699437494734</c:v>
                </c:pt>
                <c:pt idx="9">
                  <c:v>0.95105651629515342</c:v>
                </c:pt>
                <c:pt idx="10">
                  <c:v>1</c:v>
                </c:pt>
              </c:numCache>
            </c:numRef>
          </c:xVal>
          <c:yVal>
            <c:numRef>
              <c:f>'Apoio Graf'!$D$13:$D$23</c:f>
              <c:numCache>
                <c:formatCode>0.0</c:formatCode>
                <c:ptCount val="11"/>
                <c:pt idx="0">
                  <c:v>0</c:v>
                </c:pt>
                <c:pt idx="1">
                  <c:v>0.3090169943749474</c:v>
                </c:pt>
                <c:pt idx="2">
                  <c:v>0.58778525229247314</c:v>
                </c:pt>
                <c:pt idx="3">
                  <c:v>0.80901699437494745</c:v>
                </c:pt>
                <c:pt idx="4">
                  <c:v>0.95105651629515353</c:v>
                </c:pt>
                <c:pt idx="5">
                  <c:v>1</c:v>
                </c:pt>
                <c:pt idx="6">
                  <c:v>0.95105651629515364</c:v>
                </c:pt>
                <c:pt idx="7">
                  <c:v>0.80901699437494745</c:v>
                </c:pt>
                <c:pt idx="8">
                  <c:v>0.58778525229247325</c:v>
                </c:pt>
                <c:pt idx="9">
                  <c:v>0.30901699437494795</c:v>
                </c:pt>
                <c:pt idx="10">
                  <c:v>5.6660405534092462E-16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CD1-49BD-ACC5-E1CED8B26078}"/>
            </c:ext>
          </c:extLst>
        </c:ser>
        <c:ser>
          <c:idx val="6"/>
          <c:order val="6"/>
          <c:marker>
            <c:symbol val="none"/>
          </c:marker>
          <c:yVal>
            <c:numRef>
              <c:f>'Apoio Graf'!$E$9</c:f>
              <c:numCache>
                <c:formatCode>0.0%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CCD1-49BD-ACC5-E1CED8B26078}"/>
            </c:ext>
          </c:extLst>
        </c:ser>
        <c:ser>
          <c:idx val="7"/>
          <c:order val="7"/>
          <c:marker>
            <c:symbol val="none"/>
          </c:marker>
          <c:yVal>
            <c:numRef>
              <c:f>'Apoio Graf'!$E$9</c:f>
              <c:numCache>
                <c:formatCode>0.0%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CD1-49BD-ACC5-E1CED8B26078}"/>
            </c:ext>
          </c:extLst>
        </c:ser>
        <c:ser>
          <c:idx val="8"/>
          <c:order val="8"/>
          <c:marker>
            <c:symbol val="none"/>
          </c:marker>
          <c:yVal>
            <c:numRef>
              <c:f>'Apoio Graf'!$E$9</c:f>
              <c:numCache>
                <c:formatCode>0.0%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CCD1-49BD-ACC5-E1CED8B26078}"/>
            </c:ext>
          </c:extLst>
        </c:ser>
        <c:ser>
          <c:idx val="9"/>
          <c:order val="9"/>
          <c:marker>
            <c:symbol val="none"/>
          </c:marker>
          <c:yVal>
            <c:numRef>
              <c:f>'Apoio Graf'!$E$9</c:f>
              <c:numCache>
                <c:formatCode>0.0%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CD1-49BD-ACC5-E1CED8B26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826896"/>
        <c:axId val="285829248"/>
      </c:scatterChart>
      <c:valAx>
        <c:axId val="285829248"/>
        <c:scaling>
          <c:orientation val="minMax"/>
          <c:max val="1.5"/>
          <c:min val="-1.5"/>
        </c:scaling>
        <c:delete val="1"/>
        <c:axPos val="l"/>
        <c:numFmt formatCode="General" sourceLinked="1"/>
        <c:majorTickMark val="out"/>
        <c:minorTickMark val="none"/>
        <c:tickLblPos val="nextTo"/>
        <c:crossAx val="285826896"/>
        <c:crosses val="autoZero"/>
        <c:crossBetween val="midCat"/>
      </c:valAx>
      <c:valAx>
        <c:axId val="285826896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285829248"/>
        <c:crosses val="autoZero"/>
        <c:crossBetween val="midCat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000042724661527E-2"/>
          <c:y val="1.5625039736530906E-2"/>
          <c:w val="0.93500114135881518"/>
          <c:h val="0.9739608102437598"/>
        </c:manualLayout>
      </c:layout>
      <c:doughnutChart>
        <c:varyColors val="1"/>
        <c:ser>
          <c:idx val="0"/>
          <c:order val="0"/>
          <c:tx>
            <c:strRef>
              <c:f>'Apoio Graf'!$B$97</c:f>
              <c:strCache>
                <c:ptCount val="1"/>
                <c:pt idx="0">
                  <c:v>Categoria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B2AD-4A31-A6F5-CCCF16D14888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B2AD-4A31-A6F5-CCCF16D14888}"/>
              </c:ext>
            </c:extLst>
          </c:dPt>
          <c:dPt>
            <c:idx val="2"/>
            <c:bubble3D val="0"/>
            <c:spPr>
              <a:gradFill rotWithShape="0">
                <a:gsLst>
                  <a:gs pos="0">
                    <a:srgbClr xmlns:mc="http://schemas.openxmlformats.org/markup-compatibility/2006" xmlns:a14="http://schemas.microsoft.com/office/drawing/2010/main" val="CCA300" mc:Ignorable="a14" a14:legacySpreadsheetColorIndex="51">
                      <a:gamma/>
                      <a:shade val="80000"/>
                      <a:invGamma/>
                    </a:srgbClr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B2AD-4A31-A6F5-CCCF16D14888}"/>
              </c:ext>
            </c:extLst>
          </c:dPt>
          <c:dPt>
            <c:idx val="3"/>
            <c:bubble3D val="0"/>
            <c:spPr>
              <a:solidFill>
                <a:srgbClr val="0070C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B2AD-4A31-A6F5-CCCF16D14888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B2AD-4A31-A6F5-CCCF16D14888}"/>
              </c:ext>
            </c:extLst>
          </c:dPt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AD-4A31-A6F5-CCCF16D14888}"/>
                </c:ext>
              </c:extLst>
            </c:dLbl>
            <c:dLbl>
              <c:idx val="2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AD-4A31-A6F5-CCCF16D14888}"/>
                </c:ext>
              </c:extLst>
            </c:dLbl>
            <c:dLbl>
              <c:idx val="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AD-4A31-A6F5-CCCF16D14888}"/>
                </c:ext>
              </c:extLst>
            </c:dLbl>
            <c:dLbl>
              <c:idx val="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2AD-4A31-A6F5-CCCF16D1488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'Apoio Graf'!$B$105:$B$109</c:f>
              <c:strCache>
                <c:ptCount val="5"/>
                <c:pt idx="0">
                  <c:v>Oculto (ΣAMP)</c:v>
                </c:pt>
                <c:pt idx="1">
                  <c:v>Ruim</c:v>
                </c:pt>
                <c:pt idx="2">
                  <c:v>Regular</c:v>
                </c:pt>
                <c:pt idx="3">
                  <c:v>Bom</c:v>
                </c:pt>
                <c:pt idx="4">
                  <c:v>Ótimo</c:v>
                </c:pt>
              </c:strCache>
            </c:strRef>
          </c:cat>
          <c:val>
            <c:numRef>
              <c:f>'Apoio Graf'!$C$105:$C$109</c:f>
              <c:numCache>
                <c:formatCode>_(* #,##0.00_);_(* \(#,##0.00\);_(* "-"??_);_(@_)</c:formatCode>
                <c:ptCount val="5"/>
                <c:pt idx="0" formatCode="_(* #,##0.0000_);_(* \(#,##0.0000\);_(* &quot;-&quot;??_);_(@_)">
                  <c:v>1.25</c:v>
                </c:pt>
                <c:pt idx="1">
                  <c:v>0.63</c:v>
                </c:pt>
                <c:pt idx="2">
                  <c:v>0.37</c:v>
                </c:pt>
                <c:pt idx="3">
                  <c:v>0.15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AD-4A31-A6F5-CCCF16D14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4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6350">
      <a:noFill/>
    </a:ln>
  </c:spPr>
  <c:txPr>
    <a:bodyPr/>
    <a:lstStyle/>
    <a:p>
      <a:pPr>
        <a:defRPr sz="1400" b="1" i="0" u="none" strike="noStrike" baseline="0">
          <a:solidFill>
            <a:srgbClr val="000000"/>
          </a:solidFill>
          <a:latin typeface="Trebuchet MS"/>
          <a:ea typeface="Trebuchet MS"/>
          <a:cs typeface="Trebuchet MS"/>
        </a:defRPr>
      </a:pPr>
      <a:endParaRPr lang="pt-BR"/>
    </a:p>
  </c:txPr>
  <c:printSettings>
    <c:headerFooter alignWithMargins="0"/>
    <c:pageMargins b="0.984251969" l="0.78740157499999996" r="0.78740157499999996" t="0.984251969" header="0.5" footer="0.5"/>
    <c:pageSetup paperSize="0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277777777777767E-2"/>
          <c:y val="4.6295205882755687E-3"/>
          <c:w val="0.94972331583552061"/>
          <c:h val="0.8773067495583825"/>
        </c:manualLayout>
      </c:layout>
      <c:scatterChart>
        <c:scatterStyle val="lineMarker"/>
        <c:varyColors val="0"/>
        <c:ser>
          <c:idx val="0"/>
          <c:order val="0"/>
          <c:tx>
            <c:strRef>
              <c:f>'Apoio Graf'!$B$111</c:f>
              <c:strCache>
                <c:ptCount val="1"/>
                <c:pt idx="0">
                  <c:v>Agulha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10"/>
              <c:spPr>
                <a:solidFill>
                  <a:schemeClr val="tx1"/>
                </a:solidFill>
                <a:ln w="57150">
                  <a:solidFill>
                    <a:schemeClr val="tx1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DD5-421B-B18D-51CE4CCD9817}"/>
              </c:ext>
            </c:extLst>
          </c:dPt>
          <c:xVal>
            <c:numRef>
              <c:f>'Apoio Graf'!$B$113:$B$114</c:f>
              <c:numCache>
                <c:formatCode>#,##0.00</c:formatCode>
                <c:ptCount val="2"/>
                <c:pt idx="0">
                  <c:v>0</c:v>
                </c:pt>
                <c:pt idx="1">
                  <c:v>0.99999610842314379</c:v>
                </c:pt>
              </c:numCache>
            </c:numRef>
          </c:xVal>
          <c:yVal>
            <c:numRef>
              <c:f>'Apoio Graf'!$C$113:$C$114</c:f>
              <c:numCache>
                <c:formatCode>#,##0.00</c:formatCode>
                <c:ptCount val="2"/>
                <c:pt idx="0">
                  <c:v>0</c:v>
                </c:pt>
                <c:pt idx="1">
                  <c:v>2.7898276950504282E-3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D5-421B-B18D-51CE4CCD9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700008"/>
        <c:axId val="1"/>
      </c:scatterChart>
      <c:valAx>
        <c:axId val="400700008"/>
        <c:scaling>
          <c:orientation val="minMax"/>
          <c:max val="1.25"/>
          <c:min val="-1.25"/>
        </c:scaling>
        <c:delete val="0"/>
        <c:axPos val="b"/>
        <c:numFmt formatCode="#,##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1.25"/>
          <c:min val="0"/>
        </c:scaling>
        <c:delete val="0"/>
        <c:axPos val="l"/>
        <c:numFmt formatCode="#,##0.00" sourceLinked="1"/>
        <c:majorTickMark val="none"/>
        <c:minorTickMark val="none"/>
        <c:tickLblPos val="none"/>
        <c:spPr>
          <a:ln w="6350">
            <a:noFill/>
          </a:ln>
        </c:spPr>
        <c:crossAx val="4007000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rebuchet MS"/>
          <a:ea typeface="Trebuchet MS"/>
          <a:cs typeface="Trebuchet MS"/>
        </a:defRPr>
      </a:pPr>
      <a:endParaRPr lang="pt-BR"/>
    </a:p>
  </c:txPr>
  <c:printSettings>
    <c:headerFooter alignWithMargins="0"/>
    <c:pageMargins b="0.984251969" l="0.78740157499999996" r="0.78740157499999996" t="0.984251969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9.emf"/><Relationship Id="rId18" Type="http://schemas.openxmlformats.org/officeDocument/2006/relationships/image" Target="../media/image12.png"/><Relationship Id="rId3" Type="http://schemas.openxmlformats.org/officeDocument/2006/relationships/image" Target="../media/image3.emf"/><Relationship Id="rId7" Type="http://schemas.openxmlformats.org/officeDocument/2006/relationships/image" Target="../media/image6.emf"/><Relationship Id="rId12" Type="http://schemas.openxmlformats.org/officeDocument/2006/relationships/chart" Target="../charts/chart4.xml"/><Relationship Id="rId17" Type="http://schemas.openxmlformats.org/officeDocument/2006/relationships/hyperlink" Target="https://www.linkedin.com/in/daniel-meireles-rocha-00778082/" TargetMode="External"/><Relationship Id="rId2" Type="http://schemas.openxmlformats.org/officeDocument/2006/relationships/image" Target="../media/image2.emf"/><Relationship Id="rId16" Type="http://schemas.openxmlformats.org/officeDocument/2006/relationships/chart" Target="../charts/chart5.xml"/><Relationship Id="rId1" Type="http://schemas.openxmlformats.org/officeDocument/2006/relationships/image" Target="../media/image1.png"/><Relationship Id="rId6" Type="http://schemas.openxmlformats.org/officeDocument/2006/relationships/image" Target="../media/image5.emf"/><Relationship Id="rId11" Type="http://schemas.openxmlformats.org/officeDocument/2006/relationships/chart" Target="../charts/chart3.xml"/><Relationship Id="rId5" Type="http://schemas.openxmlformats.org/officeDocument/2006/relationships/image" Target="../media/image4.png"/><Relationship Id="rId15" Type="http://schemas.openxmlformats.org/officeDocument/2006/relationships/image" Target="../media/image11.png"/><Relationship Id="rId10" Type="http://schemas.openxmlformats.org/officeDocument/2006/relationships/image" Target="../media/image8.emf"/><Relationship Id="rId4" Type="http://schemas.openxmlformats.org/officeDocument/2006/relationships/chart" Target="../charts/chart1.xml"/><Relationship Id="rId9" Type="http://schemas.openxmlformats.org/officeDocument/2006/relationships/chart" Target="../charts/chart2.xml"/><Relationship Id="rId14" Type="http://schemas.openxmlformats.org/officeDocument/2006/relationships/image" Target="../media/image10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21.emf"/><Relationship Id="rId1" Type="http://schemas.openxmlformats.org/officeDocument/2006/relationships/chart" Target="../charts/chart6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533400</xdr:colOff>
      <xdr:row>4</xdr:row>
      <xdr:rowOff>196241</xdr:rowOff>
    </xdr:from>
    <xdr:to>
      <xdr:col>28</xdr:col>
      <xdr:colOff>1914327</xdr:colOff>
      <xdr:row>5</xdr:row>
      <xdr:rowOff>162981</xdr:rowOff>
    </xdr:to>
    <xdr:pic>
      <xdr:nvPicPr>
        <xdr:cNvPr id="7649" name="Imagem 7648">
          <a:extLst>
            <a:ext uri="{FF2B5EF4-FFF2-40B4-BE49-F238E27FC236}">
              <a16:creationId xmlns:a16="http://schemas.microsoft.com/office/drawing/2014/main" id="{8CE19C59-AC1B-40A7-9B66-C281FF520E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t="20188" b="31669"/>
        <a:stretch/>
      </xdr:blipFill>
      <xdr:spPr>
        <a:xfrm>
          <a:off x="25603200" y="2120291"/>
          <a:ext cx="1933377" cy="2524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196500</xdr:colOff>
          <xdr:row>28</xdr:row>
          <xdr:rowOff>275095</xdr:rowOff>
        </xdr:from>
        <xdr:to>
          <xdr:col>7</xdr:col>
          <xdr:colOff>117021</xdr:colOff>
          <xdr:row>32</xdr:row>
          <xdr:rowOff>323872</xdr:rowOff>
        </xdr:to>
        <xdr:pic>
          <xdr:nvPicPr>
            <xdr:cNvPr id="63" name="Imagem 62">
              <a:extLst>
                <a:ext uri="{FF2B5EF4-FFF2-40B4-BE49-F238E27FC236}">
                  <a16:creationId xmlns:a16="http://schemas.microsoft.com/office/drawing/2014/main" id="{3B0FC596-D290-438E-B117-41CCC280DF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poio Graf'!$D$96:$I$106" spid="_x0000_s18052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17505" t="13160" r="4694" b="6059"/>
            <a:stretch>
              <a:fillRect/>
            </a:stretch>
          </xdr:blipFill>
          <xdr:spPr bwMode="auto">
            <a:xfrm>
              <a:off x="5378100" y="8790445"/>
              <a:ext cx="2416071" cy="142037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26</xdr:row>
          <xdr:rowOff>326572</xdr:rowOff>
        </xdr:from>
        <xdr:to>
          <xdr:col>20</xdr:col>
          <xdr:colOff>46260</xdr:colOff>
          <xdr:row>32</xdr:row>
          <xdr:rowOff>244929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poio Graf'!$F$1:$M$24" spid="_x0000_s18053"/>
                </a:ext>
              </a:extLst>
            </xdr:cNvPicPr>
          </xdr:nvPicPr>
          <xdr:blipFill rotWithShape="1">
            <a:blip xmlns:r="http://schemas.openxmlformats.org/officeDocument/2006/relationships" r:embed="rId3"/>
            <a:srcRect l="18590" t="10103" r="-6005" b="42557"/>
            <a:stretch>
              <a:fillRect/>
            </a:stretch>
          </xdr:blipFill>
          <xdr:spPr bwMode="auto">
            <a:xfrm>
              <a:off x="16573500" y="8156122"/>
              <a:ext cx="4199160" cy="197575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4</xdr:col>
      <xdr:colOff>13605</xdr:colOff>
      <xdr:row>2</xdr:row>
      <xdr:rowOff>1</xdr:rowOff>
    </xdr:from>
    <xdr:to>
      <xdr:col>25</xdr:col>
      <xdr:colOff>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601486</xdr:colOff>
      <xdr:row>2</xdr:row>
      <xdr:rowOff>76707</xdr:rowOff>
    </xdr:from>
    <xdr:to>
      <xdr:col>20</xdr:col>
      <xdr:colOff>394609</xdr:colOff>
      <xdr:row>5</xdr:row>
      <xdr:rowOff>233408</xdr:rowOff>
    </xdr:to>
    <xdr:sp macro="" textlink="">
      <xdr:nvSpPr>
        <xdr:cNvPr id="9" name="Freeform 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/>
        </xdr:cNvSpPr>
      </xdr:nvSpPr>
      <xdr:spPr bwMode="auto">
        <a:xfrm>
          <a:off x="20375386" y="1448307"/>
          <a:ext cx="745623" cy="994901"/>
        </a:xfrm>
        <a:custGeom>
          <a:avLst/>
          <a:gdLst>
            <a:gd name="T0" fmla="*/ 217 w 318"/>
            <a:gd name="T1" fmla="*/ 58 h 422"/>
            <a:gd name="T2" fmla="*/ 261 w 318"/>
            <a:gd name="T3" fmla="*/ 27 h 422"/>
            <a:gd name="T4" fmla="*/ 262 w 318"/>
            <a:gd name="T5" fmla="*/ 51 h 422"/>
            <a:gd name="T6" fmla="*/ 258 w 318"/>
            <a:gd name="T7" fmla="*/ 64 h 422"/>
            <a:gd name="T8" fmla="*/ 254 w 318"/>
            <a:gd name="T9" fmla="*/ 75 h 422"/>
            <a:gd name="T10" fmla="*/ 259 w 318"/>
            <a:gd name="T11" fmla="*/ 92 h 422"/>
            <a:gd name="T12" fmla="*/ 278 w 318"/>
            <a:gd name="T13" fmla="*/ 126 h 422"/>
            <a:gd name="T14" fmla="*/ 288 w 318"/>
            <a:gd name="T15" fmla="*/ 104 h 422"/>
            <a:gd name="T16" fmla="*/ 288 w 318"/>
            <a:gd name="T17" fmla="*/ 77 h 422"/>
            <a:gd name="T18" fmla="*/ 294 w 318"/>
            <a:gd name="T19" fmla="*/ 82 h 422"/>
            <a:gd name="T20" fmla="*/ 311 w 318"/>
            <a:gd name="T21" fmla="*/ 66 h 422"/>
            <a:gd name="T22" fmla="*/ 315 w 318"/>
            <a:gd name="T23" fmla="*/ 76 h 422"/>
            <a:gd name="T24" fmla="*/ 311 w 318"/>
            <a:gd name="T25" fmla="*/ 92 h 422"/>
            <a:gd name="T26" fmla="*/ 299 w 318"/>
            <a:gd name="T27" fmla="*/ 117 h 422"/>
            <a:gd name="T28" fmla="*/ 275 w 318"/>
            <a:gd name="T29" fmla="*/ 158 h 422"/>
            <a:gd name="T30" fmla="*/ 250 w 318"/>
            <a:gd name="T31" fmla="*/ 125 h 422"/>
            <a:gd name="T32" fmla="*/ 223 w 318"/>
            <a:gd name="T33" fmla="*/ 178 h 422"/>
            <a:gd name="T34" fmla="*/ 215 w 318"/>
            <a:gd name="T35" fmla="*/ 205 h 422"/>
            <a:gd name="T36" fmla="*/ 289 w 318"/>
            <a:gd name="T37" fmla="*/ 257 h 422"/>
            <a:gd name="T38" fmla="*/ 227 w 318"/>
            <a:gd name="T39" fmla="*/ 329 h 422"/>
            <a:gd name="T40" fmla="*/ 233 w 318"/>
            <a:gd name="T41" fmla="*/ 352 h 422"/>
            <a:gd name="T42" fmla="*/ 222 w 318"/>
            <a:gd name="T43" fmla="*/ 364 h 422"/>
            <a:gd name="T44" fmla="*/ 193 w 318"/>
            <a:gd name="T45" fmla="*/ 334 h 422"/>
            <a:gd name="T46" fmla="*/ 219 w 318"/>
            <a:gd name="T47" fmla="*/ 304 h 422"/>
            <a:gd name="T48" fmla="*/ 231 w 318"/>
            <a:gd name="T49" fmla="*/ 254 h 422"/>
            <a:gd name="T50" fmla="*/ 129 w 318"/>
            <a:gd name="T51" fmla="*/ 292 h 422"/>
            <a:gd name="T52" fmla="*/ 105 w 318"/>
            <a:gd name="T53" fmla="*/ 308 h 422"/>
            <a:gd name="T54" fmla="*/ 50 w 318"/>
            <a:gd name="T55" fmla="*/ 348 h 422"/>
            <a:gd name="T56" fmla="*/ 34 w 318"/>
            <a:gd name="T57" fmla="*/ 377 h 422"/>
            <a:gd name="T58" fmla="*/ 13 w 318"/>
            <a:gd name="T59" fmla="*/ 405 h 422"/>
            <a:gd name="T60" fmla="*/ 3 w 318"/>
            <a:gd name="T61" fmla="*/ 377 h 422"/>
            <a:gd name="T62" fmla="*/ 12 w 318"/>
            <a:gd name="T63" fmla="*/ 346 h 422"/>
            <a:gd name="T64" fmla="*/ 45 w 318"/>
            <a:gd name="T65" fmla="*/ 321 h 422"/>
            <a:gd name="T66" fmla="*/ 108 w 318"/>
            <a:gd name="T67" fmla="*/ 274 h 422"/>
            <a:gd name="T68" fmla="*/ 160 w 318"/>
            <a:gd name="T69" fmla="*/ 192 h 422"/>
            <a:gd name="T70" fmla="*/ 185 w 318"/>
            <a:gd name="T71" fmla="*/ 109 h 422"/>
            <a:gd name="T72" fmla="*/ 156 w 318"/>
            <a:gd name="T73" fmla="*/ 99 h 422"/>
            <a:gd name="T74" fmla="*/ 134 w 318"/>
            <a:gd name="T75" fmla="*/ 135 h 422"/>
            <a:gd name="T76" fmla="*/ 140 w 318"/>
            <a:gd name="T77" fmla="*/ 166 h 422"/>
            <a:gd name="T78" fmla="*/ 133 w 318"/>
            <a:gd name="T79" fmla="*/ 167 h 422"/>
            <a:gd name="T80" fmla="*/ 111 w 318"/>
            <a:gd name="T81" fmla="*/ 187 h 422"/>
            <a:gd name="T82" fmla="*/ 105 w 318"/>
            <a:gd name="T83" fmla="*/ 180 h 422"/>
            <a:gd name="T84" fmla="*/ 102 w 318"/>
            <a:gd name="T85" fmla="*/ 173 h 422"/>
            <a:gd name="T86" fmla="*/ 109 w 318"/>
            <a:gd name="T87" fmla="*/ 158 h 422"/>
            <a:gd name="T88" fmla="*/ 121 w 318"/>
            <a:gd name="T89" fmla="*/ 128 h 422"/>
            <a:gd name="T90" fmla="*/ 156 w 318"/>
            <a:gd name="T91" fmla="*/ 75 h 422"/>
            <a:gd name="T92" fmla="*/ 213 w 318"/>
            <a:gd name="T93" fmla="*/ 71 h 42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</a:cxnLst>
          <a:rect l="0" t="0" r="r" b="b"/>
          <a:pathLst>
            <a:path w="318" h="422">
              <a:moveTo>
                <a:pt x="213" y="71"/>
              </a:moveTo>
              <a:cubicBezTo>
                <a:pt x="213" y="71"/>
                <a:pt x="223" y="64"/>
                <a:pt x="217" y="58"/>
              </a:cubicBezTo>
              <a:cubicBezTo>
                <a:pt x="211" y="53"/>
                <a:pt x="208" y="32"/>
                <a:pt x="217" y="22"/>
              </a:cubicBezTo>
              <a:cubicBezTo>
                <a:pt x="217" y="22"/>
                <a:pt x="243" y="0"/>
                <a:pt x="261" y="27"/>
              </a:cubicBezTo>
              <a:cubicBezTo>
                <a:pt x="261" y="27"/>
                <a:pt x="263" y="39"/>
                <a:pt x="261" y="44"/>
              </a:cubicBezTo>
              <a:cubicBezTo>
                <a:pt x="261" y="44"/>
                <a:pt x="261" y="49"/>
                <a:pt x="262" y="51"/>
              </a:cubicBezTo>
              <a:cubicBezTo>
                <a:pt x="262" y="51"/>
                <a:pt x="267" y="59"/>
                <a:pt x="260" y="59"/>
              </a:cubicBezTo>
              <a:cubicBezTo>
                <a:pt x="260" y="59"/>
                <a:pt x="259" y="63"/>
                <a:pt x="258" y="64"/>
              </a:cubicBezTo>
              <a:cubicBezTo>
                <a:pt x="258" y="64"/>
                <a:pt x="258" y="67"/>
                <a:pt x="257" y="67"/>
              </a:cubicBezTo>
              <a:cubicBezTo>
                <a:pt x="257" y="67"/>
                <a:pt x="256" y="75"/>
                <a:pt x="254" y="75"/>
              </a:cubicBezTo>
              <a:cubicBezTo>
                <a:pt x="246" y="75"/>
                <a:pt x="246" y="75"/>
                <a:pt x="246" y="75"/>
              </a:cubicBezTo>
              <a:cubicBezTo>
                <a:pt x="246" y="75"/>
                <a:pt x="256" y="82"/>
                <a:pt x="259" y="92"/>
              </a:cubicBezTo>
              <a:cubicBezTo>
                <a:pt x="263" y="103"/>
                <a:pt x="263" y="103"/>
                <a:pt x="263" y="103"/>
              </a:cubicBezTo>
              <a:cubicBezTo>
                <a:pt x="263" y="103"/>
                <a:pt x="274" y="116"/>
                <a:pt x="278" y="126"/>
              </a:cubicBezTo>
              <a:cubicBezTo>
                <a:pt x="278" y="126"/>
                <a:pt x="284" y="116"/>
                <a:pt x="286" y="114"/>
              </a:cubicBezTo>
              <a:cubicBezTo>
                <a:pt x="288" y="111"/>
                <a:pt x="288" y="107"/>
                <a:pt x="288" y="104"/>
              </a:cubicBezTo>
              <a:cubicBezTo>
                <a:pt x="288" y="101"/>
                <a:pt x="285" y="88"/>
                <a:pt x="287" y="86"/>
              </a:cubicBezTo>
              <a:cubicBezTo>
                <a:pt x="289" y="83"/>
                <a:pt x="288" y="77"/>
                <a:pt x="288" y="77"/>
              </a:cubicBezTo>
              <a:cubicBezTo>
                <a:pt x="288" y="77"/>
                <a:pt x="290" y="71"/>
                <a:pt x="293" y="77"/>
              </a:cubicBezTo>
              <a:cubicBezTo>
                <a:pt x="294" y="82"/>
                <a:pt x="294" y="82"/>
                <a:pt x="294" y="82"/>
              </a:cubicBezTo>
              <a:cubicBezTo>
                <a:pt x="294" y="82"/>
                <a:pt x="297" y="80"/>
                <a:pt x="298" y="80"/>
              </a:cubicBezTo>
              <a:cubicBezTo>
                <a:pt x="299" y="79"/>
                <a:pt x="309" y="65"/>
                <a:pt x="311" y="66"/>
              </a:cubicBezTo>
              <a:cubicBezTo>
                <a:pt x="311" y="66"/>
                <a:pt x="317" y="63"/>
                <a:pt x="317" y="69"/>
              </a:cubicBezTo>
              <a:cubicBezTo>
                <a:pt x="317" y="75"/>
                <a:pt x="315" y="76"/>
                <a:pt x="315" y="76"/>
              </a:cubicBezTo>
              <a:cubicBezTo>
                <a:pt x="315" y="76"/>
                <a:pt x="318" y="77"/>
                <a:pt x="316" y="81"/>
              </a:cubicBezTo>
              <a:cubicBezTo>
                <a:pt x="316" y="81"/>
                <a:pt x="312" y="89"/>
                <a:pt x="311" y="92"/>
              </a:cubicBezTo>
              <a:cubicBezTo>
                <a:pt x="310" y="96"/>
                <a:pt x="306" y="105"/>
                <a:pt x="303" y="109"/>
              </a:cubicBezTo>
              <a:cubicBezTo>
                <a:pt x="300" y="112"/>
                <a:pt x="301" y="110"/>
                <a:pt x="299" y="117"/>
              </a:cubicBezTo>
              <a:cubicBezTo>
                <a:pt x="297" y="125"/>
                <a:pt x="290" y="146"/>
                <a:pt x="285" y="152"/>
              </a:cubicBezTo>
              <a:cubicBezTo>
                <a:pt x="285" y="152"/>
                <a:pt x="284" y="158"/>
                <a:pt x="275" y="158"/>
              </a:cubicBezTo>
              <a:cubicBezTo>
                <a:pt x="275" y="158"/>
                <a:pt x="268" y="156"/>
                <a:pt x="267" y="151"/>
              </a:cubicBezTo>
              <a:cubicBezTo>
                <a:pt x="266" y="146"/>
                <a:pt x="251" y="127"/>
                <a:pt x="250" y="125"/>
              </a:cubicBezTo>
              <a:cubicBezTo>
                <a:pt x="250" y="125"/>
                <a:pt x="242" y="138"/>
                <a:pt x="236" y="140"/>
              </a:cubicBezTo>
              <a:cubicBezTo>
                <a:pt x="236" y="140"/>
                <a:pt x="227" y="168"/>
                <a:pt x="223" y="178"/>
              </a:cubicBezTo>
              <a:cubicBezTo>
                <a:pt x="218" y="188"/>
                <a:pt x="222" y="181"/>
                <a:pt x="222" y="181"/>
              </a:cubicBezTo>
              <a:cubicBezTo>
                <a:pt x="222" y="181"/>
                <a:pt x="217" y="201"/>
                <a:pt x="215" y="205"/>
              </a:cubicBezTo>
              <a:cubicBezTo>
                <a:pt x="215" y="205"/>
                <a:pt x="237" y="202"/>
                <a:pt x="267" y="227"/>
              </a:cubicBezTo>
              <a:cubicBezTo>
                <a:pt x="267" y="227"/>
                <a:pt x="297" y="241"/>
                <a:pt x="289" y="257"/>
              </a:cubicBezTo>
              <a:cubicBezTo>
                <a:pt x="289" y="257"/>
                <a:pt x="270" y="281"/>
                <a:pt x="267" y="284"/>
              </a:cubicBezTo>
              <a:cubicBezTo>
                <a:pt x="265" y="287"/>
                <a:pt x="225" y="320"/>
                <a:pt x="227" y="329"/>
              </a:cubicBezTo>
              <a:cubicBezTo>
                <a:pt x="227" y="329"/>
                <a:pt x="230" y="333"/>
                <a:pt x="229" y="336"/>
              </a:cubicBezTo>
              <a:cubicBezTo>
                <a:pt x="229" y="339"/>
                <a:pt x="229" y="348"/>
                <a:pt x="233" y="352"/>
              </a:cubicBezTo>
              <a:cubicBezTo>
                <a:pt x="237" y="355"/>
                <a:pt x="257" y="367"/>
                <a:pt x="247" y="371"/>
              </a:cubicBezTo>
              <a:cubicBezTo>
                <a:pt x="247" y="371"/>
                <a:pt x="226" y="372"/>
                <a:pt x="222" y="364"/>
              </a:cubicBezTo>
              <a:cubicBezTo>
                <a:pt x="222" y="364"/>
                <a:pt x="211" y="353"/>
                <a:pt x="205" y="352"/>
              </a:cubicBezTo>
              <a:cubicBezTo>
                <a:pt x="205" y="352"/>
                <a:pt x="184" y="344"/>
                <a:pt x="193" y="334"/>
              </a:cubicBezTo>
              <a:cubicBezTo>
                <a:pt x="193" y="334"/>
                <a:pt x="200" y="322"/>
                <a:pt x="203" y="323"/>
              </a:cubicBezTo>
              <a:cubicBezTo>
                <a:pt x="203" y="323"/>
                <a:pt x="216" y="312"/>
                <a:pt x="219" y="304"/>
              </a:cubicBezTo>
              <a:cubicBezTo>
                <a:pt x="223" y="296"/>
                <a:pt x="241" y="259"/>
                <a:pt x="248" y="256"/>
              </a:cubicBezTo>
              <a:cubicBezTo>
                <a:pt x="248" y="256"/>
                <a:pt x="238" y="254"/>
                <a:pt x="231" y="254"/>
              </a:cubicBezTo>
              <a:cubicBezTo>
                <a:pt x="223" y="254"/>
                <a:pt x="197" y="251"/>
                <a:pt x="186" y="245"/>
              </a:cubicBezTo>
              <a:cubicBezTo>
                <a:pt x="186" y="245"/>
                <a:pt x="144" y="285"/>
                <a:pt x="129" y="292"/>
              </a:cubicBezTo>
              <a:cubicBezTo>
                <a:pt x="129" y="292"/>
                <a:pt x="125" y="298"/>
                <a:pt x="123" y="299"/>
              </a:cubicBezTo>
              <a:cubicBezTo>
                <a:pt x="123" y="299"/>
                <a:pt x="113" y="307"/>
                <a:pt x="105" y="308"/>
              </a:cubicBezTo>
              <a:cubicBezTo>
                <a:pt x="105" y="308"/>
                <a:pt x="92" y="315"/>
                <a:pt x="89" y="318"/>
              </a:cubicBezTo>
              <a:cubicBezTo>
                <a:pt x="85" y="321"/>
                <a:pt x="53" y="346"/>
                <a:pt x="50" y="348"/>
              </a:cubicBezTo>
              <a:cubicBezTo>
                <a:pt x="50" y="348"/>
                <a:pt x="36" y="365"/>
                <a:pt x="35" y="369"/>
              </a:cubicBezTo>
              <a:cubicBezTo>
                <a:pt x="35" y="369"/>
                <a:pt x="40" y="375"/>
                <a:pt x="34" y="377"/>
              </a:cubicBezTo>
              <a:cubicBezTo>
                <a:pt x="34" y="377"/>
                <a:pt x="21" y="386"/>
                <a:pt x="18" y="391"/>
              </a:cubicBezTo>
              <a:cubicBezTo>
                <a:pt x="16" y="396"/>
                <a:pt x="12" y="402"/>
                <a:pt x="13" y="405"/>
              </a:cubicBezTo>
              <a:cubicBezTo>
                <a:pt x="14" y="409"/>
                <a:pt x="5" y="422"/>
                <a:pt x="0" y="404"/>
              </a:cubicBezTo>
              <a:cubicBezTo>
                <a:pt x="0" y="404"/>
                <a:pt x="1" y="386"/>
                <a:pt x="3" y="377"/>
              </a:cubicBezTo>
              <a:cubicBezTo>
                <a:pt x="6" y="367"/>
                <a:pt x="7" y="365"/>
                <a:pt x="6" y="362"/>
              </a:cubicBezTo>
              <a:cubicBezTo>
                <a:pt x="5" y="358"/>
                <a:pt x="4" y="348"/>
                <a:pt x="12" y="346"/>
              </a:cubicBezTo>
              <a:cubicBezTo>
                <a:pt x="20" y="344"/>
                <a:pt x="27" y="345"/>
                <a:pt x="27" y="345"/>
              </a:cubicBezTo>
              <a:cubicBezTo>
                <a:pt x="27" y="345"/>
                <a:pt x="41" y="329"/>
                <a:pt x="45" y="321"/>
              </a:cubicBezTo>
              <a:cubicBezTo>
                <a:pt x="50" y="313"/>
                <a:pt x="69" y="296"/>
                <a:pt x="77" y="292"/>
              </a:cubicBezTo>
              <a:cubicBezTo>
                <a:pt x="84" y="288"/>
                <a:pt x="103" y="280"/>
                <a:pt x="108" y="274"/>
              </a:cubicBezTo>
              <a:cubicBezTo>
                <a:pt x="113" y="267"/>
                <a:pt x="133" y="235"/>
                <a:pt x="142" y="232"/>
              </a:cubicBezTo>
              <a:cubicBezTo>
                <a:pt x="142" y="232"/>
                <a:pt x="141" y="199"/>
                <a:pt x="160" y="192"/>
              </a:cubicBezTo>
              <a:cubicBezTo>
                <a:pt x="160" y="192"/>
                <a:pt x="170" y="188"/>
                <a:pt x="175" y="175"/>
              </a:cubicBezTo>
              <a:cubicBezTo>
                <a:pt x="180" y="163"/>
                <a:pt x="180" y="117"/>
                <a:pt x="185" y="109"/>
              </a:cubicBezTo>
              <a:cubicBezTo>
                <a:pt x="185" y="109"/>
                <a:pt x="184" y="104"/>
                <a:pt x="185" y="102"/>
              </a:cubicBezTo>
              <a:cubicBezTo>
                <a:pt x="185" y="102"/>
                <a:pt x="160" y="101"/>
                <a:pt x="156" y="99"/>
              </a:cubicBezTo>
              <a:cubicBezTo>
                <a:pt x="156" y="99"/>
                <a:pt x="149" y="94"/>
                <a:pt x="146" y="103"/>
              </a:cubicBezTo>
              <a:cubicBezTo>
                <a:pt x="146" y="103"/>
                <a:pt x="136" y="127"/>
                <a:pt x="134" y="135"/>
              </a:cubicBezTo>
              <a:cubicBezTo>
                <a:pt x="134" y="135"/>
                <a:pt x="133" y="148"/>
                <a:pt x="134" y="153"/>
              </a:cubicBezTo>
              <a:cubicBezTo>
                <a:pt x="135" y="157"/>
                <a:pt x="138" y="164"/>
                <a:pt x="140" y="166"/>
              </a:cubicBezTo>
              <a:cubicBezTo>
                <a:pt x="142" y="168"/>
                <a:pt x="144" y="172"/>
                <a:pt x="141" y="172"/>
              </a:cubicBezTo>
              <a:cubicBezTo>
                <a:pt x="141" y="172"/>
                <a:pt x="135" y="171"/>
                <a:pt x="133" y="167"/>
              </a:cubicBezTo>
              <a:cubicBezTo>
                <a:pt x="133" y="167"/>
                <a:pt x="132" y="160"/>
                <a:pt x="127" y="168"/>
              </a:cubicBezTo>
              <a:cubicBezTo>
                <a:pt x="127" y="168"/>
                <a:pt x="110" y="200"/>
                <a:pt x="111" y="187"/>
              </a:cubicBezTo>
              <a:cubicBezTo>
                <a:pt x="111" y="187"/>
                <a:pt x="103" y="195"/>
                <a:pt x="107" y="185"/>
              </a:cubicBezTo>
              <a:cubicBezTo>
                <a:pt x="107" y="185"/>
                <a:pt x="101" y="187"/>
                <a:pt x="105" y="180"/>
              </a:cubicBezTo>
              <a:cubicBezTo>
                <a:pt x="105" y="180"/>
                <a:pt x="114" y="161"/>
                <a:pt x="108" y="167"/>
              </a:cubicBezTo>
              <a:cubicBezTo>
                <a:pt x="102" y="173"/>
                <a:pt x="102" y="173"/>
                <a:pt x="102" y="173"/>
              </a:cubicBezTo>
              <a:cubicBezTo>
                <a:pt x="102" y="173"/>
                <a:pt x="96" y="176"/>
                <a:pt x="100" y="170"/>
              </a:cubicBezTo>
              <a:cubicBezTo>
                <a:pt x="100" y="170"/>
                <a:pt x="107" y="163"/>
                <a:pt x="109" y="158"/>
              </a:cubicBezTo>
              <a:cubicBezTo>
                <a:pt x="111" y="154"/>
                <a:pt x="114" y="149"/>
                <a:pt x="118" y="146"/>
              </a:cubicBezTo>
              <a:cubicBezTo>
                <a:pt x="121" y="142"/>
                <a:pt x="120" y="132"/>
                <a:pt x="121" y="128"/>
              </a:cubicBezTo>
              <a:cubicBezTo>
                <a:pt x="121" y="124"/>
                <a:pt x="125" y="86"/>
                <a:pt x="134" y="82"/>
              </a:cubicBezTo>
              <a:cubicBezTo>
                <a:pt x="144" y="77"/>
                <a:pt x="150" y="77"/>
                <a:pt x="156" y="75"/>
              </a:cubicBezTo>
              <a:cubicBezTo>
                <a:pt x="161" y="73"/>
                <a:pt x="189" y="70"/>
                <a:pt x="197" y="72"/>
              </a:cubicBezTo>
              <a:cubicBezTo>
                <a:pt x="197" y="72"/>
                <a:pt x="211" y="72"/>
                <a:pt x="213" y="71"/>
              </a:cubicBezTo>
              <a:close/>
            </a:path>
          </a:pathLst>
        </a:custGeom>
        <a:solidFill>
          <a:srgbClr val="0070C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4</xdr:col>
      <xdr:colOff>598714</xdr:colOff>
      <xdr:row>3</xdr:row>
      <xdr:rowOff>149679</xdr:rowOff>
    </xdr:from>
    <xdr:to>
      <xdr:col>4</xdr:col>
      <xdr:colOff>1129393</xdr:colOff>
      <xdr:row>5</xdr:row>
      <xdr:rowOff>139722</xdr:rowOff>
    </xdr:to>
    <xdr:sp macro="" textlink="">
      <xdr:nvSpPr>
        <xdr:cNvPr id="11" name="Freeform 1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EditPoints="1"/>
        </xdr:cNvSpPr>
      </xdr:nvSpPr>
      <xdr:spPr bwMode="auto">
        <a:xfrm>
          <a:off x="4816928" y="1714500"/>
          <a:ext cx="530679" cy="398258"/>
        </a:xfrm>
        <a:custGeom>
          <a:avLst/>
          <a:gdLst>
            <a:gd name="T0" fmla="*/ 14 w 325"/>
            <a:gd name="T1" fmla="*/ 312 h 315"/>
            <a:gd name="T2" fmla="*/ 59 w 325"/>
            <a:gd name="T3" fmla="*/ 310 h 315"/>
            <a:gd name="T4" fmla="*/ 80 w 325"/>
            <a:gd name="T5" fmla="*/ 312 h 315"/>
            <a:gd name="T6" fmla="*/ 78 w 325"/>
            <a:gd name="T7" fmla="*/ 301 h 315"/>
            <a:gd name="T8" fmla="*/ 65 w 325"/>
            <a:gd name="T9" fmla="*/ 273 h 315"/>
            <a:gd name="T10" fmla="*/ 84 w 325"/>
            <a:gd name="T11" fmla="*/ 265 h 315"/>
            <a:gd name="T12" fmla="*/ 112 w 325"/>
            <a:gd name="T13" fmla="*/ 258 h 315"/>
            <a:gd name="T14" fmla="*/ 123 w 325"/>
            <a:gd name="T15" fmla="*/ 236 h 315"/>
            <a:gd name="T16" fmla="*/ 125 w 325"/>
            <a:gd name="T17" fmla="*/ 161 h 315"/>
            <a:gd name="T18" fmla="*/ 165 w 325"/>
            <a:gd name="T19" fmla="*/ 186 h 315"/>
            <a:gd name="T20" fmla="*/ 147 w 325"/>
            <a:gd name="T21" fmla="*/ 230 h 315"/>
            <a:gd name="T22" fmla="*/ 134 w 325"/>
            <a:gd name="T23" fmla="*/ 255 h 315"/>
            <a:gd name="T24" fmla="*/ 124 w 325"/>
            <a:gd name="T25" fmla="*/ 273 h 315"/>
            <a:gd name="T26" fmla="*/ 132 w 325"/>
            <a:gd name="T27" fmla="*/ 293 h 315"/>
            <a:gd name="T28" fmla="*/ 148 w 325"/>
            <a:gd name="T29" fmla="*/ 307 h 315"/>
            <a:gd name="T30" fmla="*/ 163 w 325"/>
            <a:gd name="T31" fmla="*/ 292 h 315"/>
            <a:gd name="T32" fmla="*/ 154 w 325"/>
            <a:gd name="T33" fmla="*/ 269 h 315"/>
            <a:gd name="T34" fmla="*/ 182 w 325"/>
            <a:gd name="T35" fmla="*/ 235 h 315"/>
            <a:gd name="T36" fmla="*/ 211 w 325"/>
            <a:gd name="T37" fmla="*/ 172 h 315"/>
            <a:gd name="T38" fmla="*/ 209 w 325"/>
            <a:gd name="T39" fmla="*/ 136 h 315"/>
            <a:gd name="T40" fmla="*/ 227 w 325"/>
            <a:gd name="T41" fmla="*/ 140 h 315"/>
            <a:gd name="T42" fmla="*/ 241 w 325"/>
            <a:gd name="T43" fmla="*/ 208 h 315"/>
            <a:gd name="T44" fmla="*/ 266 w 325"/>
            <a:gd name="T45" fmla="*/ 269 h 315"/>
            <a:gd name="T46" fmla="*/ 270 w 325"/>
            <a:gd name="T47" fmla="*/ 301 h 315"/>
            <a:gd name="T48" fmla="*/ 264 w 325"/>
            <a:gd name="T49" fmla="*/ 312 h 315"/>
            <a:gd name="T50" fmla="*/ 284 w 325"/>
            <a:gd name="T51" fmla="*/ 310 h 315"/>
            <a:gd name="T52" fmla="*/ 317 w 325"/>
            <a:gd name="T53" fmla="*/ 312 h 315"/>
            <a:gd name="T54" fmla="*/ 307 w 325"/>
            <a:gd name="T55" fmla="*/ 307 h 315"/>
            <a:gd name="T56" fmla="*/ 292 w 325"/>
            <a:gd name="T57" fmla="*/ 301 h 315"/>
            <a:gd name="T58" fmla="*/ 284 w 325"/>
            <a:gd name="T59" fmla="*/ 270 h 315"/>
            <a:gd name="T60" fmla="*/ 275 w 325"/>
            <a:gd name="T61" fmla="*/ 221 h 315"/>
            <a:gd name="T62" fmla="*/ 259 w 325"/>
            <a:gd name="T63" fmla="*/ 169 h 315"/>
            <a:gd name="T64" fmla="*/ 250 w 325"/>
            <a:gd name="T65" fmla="*/ 115 h 315"/>
            <a:gd name="T66" fmla="*/ 235 w 325"/>
            <a:gd name="T67" fmla="*/ 89 h 315"/>
            <a:gd name="T68" fmla="*/ 246 w 325"/>
            <a:gd name="T69" fmla="*/ 64 h 315"/>
            <a:gd name="T70" fmla="*/ 199 w 325"/>
            <a:gd name="T71" fmla="*/ 15 h 315"/>
            <a:gd name="T72" fmla="*/ 180 w 325"/>
            <a:gd name="T73" fmla="*/ 64 h 315"/>
            <a:gd name="T74" fmla="*/ 119 w 325"/>
            <a:gd name="T75" fmla="*/ 77 h 315"/>
            <a:gd name="T76" fmla="*/ 74 w 325"/>
            <a:gd name="T77" fmla="*/ 145 h 315"/>
            <a:gd name="T78" fmla="*/ 79 w 325"/>
            <a:gd name="T79" fmla="*/ 193 h 315"/>
            <a:gd name="T80" fmla="*/ 51 w 325"/>
            <a:gd name="T81" fmla="*/ 243 h 315"/>
            <a:gd name="T82" fmla="*/ 38 w 325"/>
            <a:gd name="T83" fmla="*/ 242 h 315"/>
            <a:gd name="T84" fmla="*/ 29 w 325"/>
            <a:gd name="T85" fmla="*/ 269 h 315"/>
            <a:gd name="T86" fmla="*/ 33 w 325"/>
            <a:gd name="T87" fmla="*/ 297 h 315"/>
            <a:gd name="T88" fmla="*/ 13 w 325"/>
            <a:gd name="T89" fmla="*/ 305 h 315"/>
            <a:gd name="T90" fmla="*/ 80 w 325"/>
            <a:gd name="T91" fmla="*/ 242 h 315"/>
            <a:gd name="T92" fmla="*/ 84 w 325"/>
            <a:gd name="T93" fmla="*/ 235 h 315"/>
            <a:gd name="T94" fmla="*/ 84 w 325"/>
            <a:gd name="T95" fmla="*/ 241 h 3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</a:cxnLst>
          <a:rect l="0" t="0" r="r" b="b"/>
          <a:pathLst>
            <a:path w="325" h="315">
              <a:moveTo>
                <a:pt x="2" y="310"/>
              </a:moveTo>
              <a:cubicBezTo>
                <a:pt x="3" y="312"/>
                <a:pt x="10" y="312"/>
                <a:pt x="14" y="312"/>
              </a:cubicBezTo>
              <a:cubicBezTo>
                <a:pt x="14" y="312"/>
                <a:pt x="30" y="312"/>
                <a:pt x="35" y="312"/>
              </a:cubicBezTo>
              <a:cubicBezTo>
                <a:pt x="35" y="312"/>
                <a:pt x="56" y="315"/>
                <a:pt x="59" y="310"/>
              </a:cubicBezTo>
              <a:cubicBezTo>
                <a:pt x="59" y="310"/>
                <a:pt x="65" y="305"/>
                <a:pt x="71" y="307"/>
              </a:cubicBezTo>
              <a:cubicBezTo>
                <a:pt x="71" y="307"/>
                <a:pt x="78" y="311"/>
                <a:pt x="80" y="312"/>
              </a:cubicBezTo>
              <a:cubicBezTo>
                <a:pt x="80" y="312"/>
                <a:pt x="102" y="313"/>
                <a:pt x="87" y="307"/>
              </a:cubicBezTo>
              <a:cubicBezTo>
                <a:pt x="87" y="307"/>
                <a:pt x="81" y="303"/>
                <a:pt x="78" y="301"/>
              </a:cubicBezTo>
              <a:cubicBezTo>
                <a:pt x="74" y="300"/>
                <a:pt x="72" y="290"/>
                <a:pt x="69" y="287"/>
              </a:cubicBezTo>
              <a:cubicBezTo>
                <a:pt x="66" y="283"/>
                <a:pt x="63" y="277"/>
                <a:pt x="65" y="273"/>
              </a:cubicBezTo>
              <a:cubicBezTo>
                <a:pt x="67" y="269"/>
                <a:pt x="70" y="264"/>
                <a:pt x="70" y="264"/>
              </a:cubicBezTo>
              <a:cubicBezTo>
                <a:pt x="70" y="264"/>
                <a:pt x="80" y="265"/>
                <a:pt x="84" y="265"/>
              </a:cubicBezTo>
              <a:cubicBezTo>
                <a:pt x="84" y="265"/>
                <a:pt x="88" y="264"/>
                <a:pt x="91" y="265"/>
              </a:cubicBezTo>
              <a:cubicBezTo>
                <a:pt x="91" y="265"/>
                <a:pt x="107" y="267"/>
                <a:pt x="112" y="258"/>
              </a:cubicBezTo>
              <a:cubicBezTo>
                <a:pt x="112" y="258"/>
                <a:pt x="116" y="254"/>
                <a:pt x="117" y="253"/>
              </a:cubicBezTo>
              <a:cubicBezTo>
                <a:pt x="118" y="252"/>
                <a:pt x="123" y="243"/>
                <a:pt x="123" y="236"/>
              </a:cubicBezTo>
              <a:cubicBezTo>
                <a:pt x="123" y="228"/>
                <a:pt x="122" y="199"/>
                <a:pt x="122" y="195"/>
              </a:cubicBezTo>
              <a:cubicBezTo>
                <a:pt x="122" y="190"/>
                <a:pt x="127" y="164"/>
                <a:pt x="125" y="161"/>
              </a:cubicBezTo>
              <a:cubicBezTo>
                <a:pt x="125" y="161"/>
                <a:pt x="128" y="152"/>
                <a:pt x="131" y="155"/>
              </a:cubicBezTo>
              <a:cubicBezTo>
                <a:pt x="131" y="155"/>
                <a:pt x="156" y="182"/>
                <a:pt x="165" y="186"/>
              </a:cubicBezTo>
              <a:cubicBezTo>
                <a:pt x="165" y="186"/>
                <a:pt x="170" y="194"/>
                <a:pt x="171" y="195"/>
              </a:cubicBezTo>
              <a:cubicBezTo>
                <a:pt x="171" y="195"/>
                <a:pt x="150" y="215"/>
                <a:pt x="147" y="230"/>
              </a:cubicBezTo>
              <a:cubicBezTo>
                <a:pt x="147" y="230"/>
                <a:pt x="141" y="245"/>
                <a:pt x="137" y="250"/>
              </a:cubicBezTo>
              <a:cubicBezTo>
                <a:pt x="134" y="254"/>
                <a:pt x="134" y="255"/>
                <a:pt x="134" y="255"/>
              </a:cubicBezTo>
              <a:cubicBezTo>
                <a:pt x="134" y="255"/>
                <a:pt x="130" y="254"/>
                <a:pt x="129" y="259"/>
              </a:cubicBezTo>
              <a:cubicBezTo>
                <a:pt x="128" y="264"/>
                <a:pt x="126" y="270"/>
                <a:pt x="124" y="273"/>
              </a:cubicBezTo>
              <a:cubicBezTo>
                <a:pt x="121" y="276"/>
                <a:pt x="117" y="276"/>
                <a:pt x="121" y="283"/>
              </a:cubicBezTo>
              <a:cubicBezTo>
                <a:pt x="121" y="283"/>
                <a:pt x="130" y="292"/>
                <a:pt x="132" y="293"/>
              </a:cubicBezTo>
              <a:cubicBezTo>
                <a:pt x="135" y="295"/>
                <a:pt x="134" y="297"/>
                <a:pt x="133" y="300"/>
              </a:cubicBezTo>
              <a:cubicBezTo>
                <a:pt x="133" y="300"/>
                <a:pt x="131" y="307"/>
                <a:pt x="148" y="307"/>
              </a:cubicBezTo>
              <a:cubicBezTo>
                <a:pt x="148" y="307"/>
                <a:pt x="166" y="308"/>
                <a:pt x="167" y="304"/>
              </a:cubicBezTo>
              <a:cubicBezTo>
                <a:pt x="167" y="304"/>
                <a:pt x="169" y="297"/>
                <a:pt x="163" y="292"/>
              </a:cubicBezTo>
              <a:cubicBezTo>
                <a:pt x="163" y="292"/>
                <a:pt x="157" y="284"/>
                <a:pt x="155" y="277"/>
              </a:cubicBezTo>
              <a:cubicBezTo>
                <a:pt x="154" y="271"/>
                <a:pt x="154" y="269"/>
                <a:pt x="154" y="269"/>
              </a:cubicBezTo>
              <a:cubicBezTo>
                <a:pt x="154" y="269"/>
                <a:pt x="156" y="262"/>
                <a:pt x="152" y="261"/>
              </a:cubicBezTo>
              <a:cubicBezTo>
                <a:pt x="152" y="261"/>
                <a:pt x="177" y="238"/>
                <a:pt x="182" y="235"/>
              </a:cubicBezTo>
              <a:cubicBezTo>
                <a:pt x="187" y="232"/>
                <a:pt x="205" y="213"/>
                <a:pt x="204" y="209"/>
              </a:cubicBezTo>
              <a:cubicBezTo>
                <a:pt x="204" y="209"/>
                <a:pt x="219" y="185"/>
                <a:pt x="211" y="172"/>
              </a:cubicBezTo>
              <a:cubicBezTo>
                <a:pt x="203" y="159"/>
                <a:pt x="205" y="147"/>
                <a:pt x="199" y="144"/>
              </a:cubicBezTo>
              <a:cubicBezTo>
                <a:pt x="199" y="144"/>
                <a:pt x="208" y="138"/>
                <a:pt x="209" y="136"/>
              </a:cubicBezTo>
              <a:cubicBezTo>
                <a:pt x="209" y="136"/>
                <a:pt x="219" y="137"/>
                <a:pt x="221" y="135"/>
              </a:cubicBezTo>
              <a:cubicBezTo>
                <a:pt x="221" y="135"/>
                <a:pt x="227" y="136"/>
                <a:pt x="227" y="140"/>
              </a:cubicBezTo>
              <a:cubicBezTo>
                <a:pt x="227" y="144"/>
                <a:pt x="233" y="176"/>
                <a:pt x="235" y="183"/>
              </a:cubicBezTo>
              <a:cubicBezTo>
                <a:pt x="238" y="190"/>
                <a:pt x="240" y="202"/>
                <a:pt x="241" y="208"/>
              </a:cubicBezTo>
              <a:cubicBezTo>
                <a:pt x="241" y="214"/>
                <a:pt x="249" y="231"/>
                <a:pt x="254" y="239"/>
              </a:cubicBezTo>
              <a:cubicBezTo>
                <a:pt x="258" y="248"/>
                <a:pt x="265" y="264"/>
                <a:pt x="266" y="269"/>
              </a:cubicBezTo>
              <a:cubicBezTo>
                <a:pt x="268" y="274"/>
                <a:pt x="272" y="281"/>
                <a:pt x="272" y="286"/>
              </a:cubicBezTo>
              <a:cubicBezTo>
                <a:pt x="271" y="291"/>
                <a:pt x="270" y="299"/>
                <a:pt x="270" y="301"/>
              </a:cubicBezTo>
              <a:cubicBezTo>
                <a:pt x="270" y="303"/>
                <a:pt x="270" y="306"/>
                <a:pt x="266" y="307"/>
              </a:cubicBezTo>
              <a:cubicBezTo>
                <a:pt x="263" y="309"/>
                <a:pt x="261" y="310"/>
                <a:pt x="264" y="312"/>
              </a:cubicBezTo>
              <a:cubicBezTo>
                <a:pt x="264" y="312"/>
                <a:pt x="270" y="313"/>
                <a:pt x="273" y="311"/>
              </a:cubicBezTo>
              <a:cubicBezTo>
                <a:pt x="273" y="311"/>
                <a:pt x="277" y="307"/>
                <a:pt x="284" y="310"/>
              </a:cubicBezTo>
              <a:cubicBezTo>
                <a:pt x="284" y="310"/>
                <a:pt x="291" y="312"/>
                <a:pt x="295" y="312"/>
              </a:cubicBezTo>
              <a:cubicBezTo>
                <a:pt x="295" y="312"/>
                <a:pt x="316" y="313"/>
                <a:pt x="317" y="312"/>
              </a:cubicBezTo>
              <a:cubicBezTo>
                <a:pt x="317" y="312"/>
                <a:pt x="325" y="311"/>
                <a:pt x="317" y="307"/>
              </a:cubicBezTo>
              <a:cubicBezTo>
                <a:pt x="317" y="307"/>
                <a:pt x="311" y="307"/>
                <a:pt x="307" y="307"/>
              </a:cubicBezTo>
              <a:cubicBezTo>
                <a:pt x="304" y="307"/>
                <a:pt x="302" y="304"/>
                <a:pt x="299" y="305"/>
              </a:cubicBezTo>
              <a:cubicBezTo>
                <a:pt x="295" y="305"/>
                <a:pt x="296" y="304"/>
                <a:pt x="292" y="301"/>
              </a:cubicBezTo>
              <a:cubicBezTo>
                <a:pt x="289" y="297"/>
                <a:pt x="285" y="279"/>
                <a:pt x="285" y="277"/>
              </a:cubicBezTo>
              <a:cubicBezTo>
                <a:pt x="285" y="276"/>
                <a:pt x="285" y="272"/>
                <a:pt x="284" y="270"/>
              </a:cubicBezTo>
              <a:cubicBezTo>
                <a:pt x="283" y="268"/>
                <a:pt x="280" y="246"/>
                <a:pt x="279" y="241"/>
              </a:cubicBezTo>
              <a:cubicBezTo>
                <a:pt x="278" y="235"/>
                <a:pt x="277" y="225"/>
                <a:pt x="275" y="221"/>
              </a:cubicBezTo>
              <a:cubicBezTo>
                <a:pt x="274" y="217"/>
                <a:pt x="276" y="205"/>
                <a:pt x="269" y="196"/>
              </a:cubicBezTo>
              <a:cubicBezTo>
                <a:pt x="261" y="186"/>
                <a:pt x="259" y="178"/>
                <a:pt x="259" y="169"/>
              </a:cubicBezTo>
              <a:cubicBezTo>
                <a:pt x="258" y="160"/>
                <a:pt x="255" y="149"/>
                <a:pt x="254" y="146"/>
              </a:cubicBezTo>
              <a:cubicBezTo>
                <a:pt x="254" y="142"/>
                <a:pt x="255" y="128"/>
                <a:pt x="250" y="115"/>
              </a:cubicBezTo>
              <a:cubicBezTo>
                <a:pt x="245" y="101"/>
                <a:pt x="239" y="91"/>
                <a:pt x="234" y="89"/>
              </a:cubicBezTo>
              <a:cubicBezTo>
                <a:pt x="235" y="89"/>
                <a:pt x="235" y="89"/>
                <a:pt x="235" y="89"/>
              </a:cubicBezTo>
              <a:cubicBezTo>
                <a:pt x="235" y="89"/>
                <a:pt x="243" y="78"/>
                <a:pt x="242" y="70"/>
              </a:cubicBezTo>
              <a:cubicBezTo>
                <a:pt x="242" y="70"/>
                <a:pt x="244" y="65"/>
                <a:pt x="246" y="64"/>
              </a:cubicBezTo>
              <a:cubicBezTo>
                <a:pt x="246" y="64"/>
                <a:pt x="259" y="40"/>
                <a:pt x="245" y="25"/>
              </a:cubicBezTo>
              <a:cubicBezTo>
                <a:pt x="245" y="25"/>
                <a:pt x="226" y="0"/>
                <a:pt x="199" y="15"/>
              </a:cubicBezTo>
              <a:cubicBezTo>
                <a:pt x="199" y="15"/>
                <a:pt x="182" y="28"/>
                <a:pt x="181" y="45"/>
              </a:cubicBezTo>
              <a:cubicBezTo>
                <a:pt x="181" y="45"/>
                <a:pt x="176" y="48"/>
                <a:pt x="180" y="64"/>
              </a:cubicBezTo>
              <a:cubicBezTo>
                <a:pt x="180" y="64"/>
                <a:pt x="164" y="56"/>
                <a:pt x="155" y="60"/>
              </a:cubicBezTo>
              <a:cubicBezTo>
                <a:pt x="155" y="60"/>
                <a:pt x="131" y="66"/>
                <a:pt x="119" y="77"/>
              </a:cubicBezTo>
              <a:cubicBezTo>
                <a:pt x="119" y="77"/>
                <a:pt x="97" y="90"/>
                <a:pt x="87" y="104"/>
              </a:cubicBezTo>
              <a:cubicBezTo>
                <a:pt x="78" y="118"/>
                <a:pt x="74" y="132"/>
                <a:pt x="74" y="145"/>
              </a:cubicBezTo>
              <a:cubicBezTo>
                <a:pt x="74" y="158"/>
                <a:pt x="71" y="161"/>
                <a:pt x="75" y="163"/>
              </a:cubicBezTo>
              <a:cubicBezTo>
                <a:pt x="75" y="163"/>
                <a:pt x="78" y="189"/>
                <a:pt x="79" y="193"/>
              </a:cubicBezTo>
              <a:cubicBezTo>
                <a:pt x="79" y="193"/>
                <a:pt x="59" y="231"/>
                <a:pt x="57" y="240"/>
              </a:cubicBezTo>
              <a:cubicBezTo>
                <a:pt x="57" y="240"/>
                <a:pt x="55" y="244"/>
                <a:pt x="51" y="243"/>
              </a:cubicBezTo>
              <a:cubicBezTo>
                <a:pt x="51" y="243"/>
                <a:pt x="49" y="240"/>
                <a:pt x="42" y="242"/>
              </a:cubicBezTo>
              <a:cubicBezTo>
                <a:pt x="42" y="242"/>
                <a:pt x="39" y="243"/>
                <a:pt x="38" y="242"/>
              </a:cubicBezTo>
              <a:cubicBezTo>
                <a:pt x="36" y="241"/>
                <a:pt x="30" y="240"/>
                <a:pt x="27" y="245"/>
              </a:cubicBezTo>
              <a:cubicBezTo>
                <a:pt x="25" y="251"/>
                <a:pt x="27" y="263"/>
                <a:pt x="29" y="269"/>
              </a:cubicBezTo>
              <a:cubicBezTo>
                <a:pt x="30" y="276"/>
                <a:pt x="28" y="281"/>
                <a:pt x="28" y="285"/>
              </a:cubicBezTo>
              <a:cubicBezTo>
                <a:pt x="28" y="288"/>
                <a:pt x="30" y="295"/>
                <a:pt x="33" y="297"/>
              </a:cubicBezTo>
              <a:cubicBezTo>
                <a:pt x="33" y="297"/>
                <a:pt x="31" y="301"/>
                <a:pt x="27" y="302"/>
              </a:cubicBezTo>
              <a:cubicBezTo>
                <a:pt x="24" y="303"/>
                <a:pt x="16" y="304"/>
                <a:pt x="13" y="305"/>
              </a:cubicBezTo>
              <a:cubicBezTo>
                <a:pt x="10" y="306"/>
                <a:pt x="0" y="307"/>
                <a:pt x="2" y="310"/>
              </a:cubicBezTo>
              <a:close/>
              <a:moveTo>
                <a:pt x="80" y="242"/>
              </a:moveTo>
              <a:cubicBezTo>
                <a:pt x="80" y="242"/>
                <a:pt x="84" y="237"/>
                <a:pt x="84" y="235"/>
              </a:cubicBezTo>
              <a:cubicBezTo>
                <a:pt x="84" y="235"/>
                <a:pt x="84" y="235"/>
                <a:pt x="84" y="235"/>
              </a:cubicBezTo>
              <a:cubicBezTo>
                <a:pt x="84" y="235"/>
                <a:pt x="84" y="235"/>
                <a:pt x="84" y="235"/>
              </a:cubicBezTo>
              <a:cubicBezTo>
                <a:pt x="84" y="236"/>
                <a:pt x="83" y="240"/>
                <a:pt x="84" y="241"/>
              </a:cubicBezTo>
              <a:cubicBezTo>
                <a:pt x="84" y="241"/>
                <a:pt x="81" y="241"/>
                <a:pt x="80" y="242"/>
              </a:cubicBezTo>
              <a:close/>
            </a:path>
          </a:pathLst>
        </a:custGeom>
        <a:solidFill>
          <a:srgbClr val="0070C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23</xdr:col>
      <xdr:colOff>684800</xdr:colOff>
      <xdr:row>2</xdr:row>
      <xdr:rowOff>122466</xdr:rowOff>
    </xdr:from>
    <xdr:to>
      <xdr:col>24</xdr:col>
      <xdr:colOff>511627</xdr:colOff>
      <xdr:row>4</xdr:row>
      <xdr:rowOff>168729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62264" y="1102180"/>
          <a:ext cx="656864" cy="585106"/>
        </a:xfrm>
        <a:prstGeom prst="rect">
          <a:avLst/>
        </a:prstGeom>
      </xdr:spPr>
    </xdr:pic>
    <xdr:clientData/>
  </xdr:twoCellAnchor>
  <xdr:oneCellAnchor>
    <xdr:from>
      <xdr:col>2</xdr:col>
      <xdr:colOff>63951</xdr:colOff>
      <xdr:row>25</xdr:row>
      <xdr:rowOff>201385</xdr:rowOff>
    </xdr:from>
    <xdr:ext cx="2008755" cy="923651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626051" y="7745185"/>
          <a:ext cx="2008755" cy="923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4800" b="1">
              <a:solidFill>
                <a:schemeClr val="accent1">
                  <a:lumMod val="50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NOTA</a:t>
          </a:r>
        </a:p>
      </xdr:txBody>
    </xdr:sp>
    <xdr:clientData/>
  </xdr:oneCellAnchor>
  <xdr:oneCellAnchor>
    <xdr:from>
      <xdr:col>11</xdr:col>
      <xdr:colOff>338818</xdr:colOff>
      <xdr:row>25</xdr:row>
      <xdr:rowOff>198664</xdr:rowOff>
    </xdr:from>
    <xdr:ext cx="2784352" cy="438710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2111718" y="7742464"/>
          <a:ext cx="2784352" cy="4387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b="0">
              <a:solidFill>
                <a:schemeClr val="tx2">
                  <a:lumMod val="50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Equilíbrio Financeiro</a:t>
          </a:r>
        </a:p>
      </xdr:txBody>
    </xdr:sp>
    <xdr:clientData/>
  </xdr:oneCellAnchor>
  <xdr:twoCellAnchor>
    <xdr:from>
      <xdr:col>14</xdr:col>
      <xdr:colOff>453562</xdr:colOff>
      <xdr:row>26</xdr:row>
      <xdr:rowOff>296992</xdr:rowOff>
    </xdr:from>
    <xdr:to>
      <xdr:col>14</xdr:col>
      <xdr:colOff>774237</xdr:colOff>
      <xdr:row>27</xdr:row>
      <xdr:rowOff>260026</xdr:rowOff>
    </xdr:to>
    <xdr:grpSp>
      <xdr:nvGrpSpPr>
        <xdr:cNvPr id="18" name="Group 3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15807862" y="8126542"/>
          <a:ext cx="320675" cy="305934"/>
          <a:chOff x="10674350" y="601664"/>
          <a:chExt cx="320675" cy="303213"/>
        </a:xfrm>
        <a:solidFill>
          <a:schemeClr val="bg1"/>
        </a:solidFill>
      </xdr:grpSpPr>
      <xdr:sp macro="" textlink="">
        <xdr:nvSpPr>
          <xdr:cNvPr id="19" name="Freeform 11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 noEditPoints="1"/>
          </xdr:cNvSpPr>
        </xdr:nvSpPr>
        <xdr:spPr bwMode="auto">
          <a:xfrm>
            <a:off x="10675938" y="601664"/>
            <a:ext cx="311150" cy="244475"/>
          </a:xfrm>
          <a:custGeom>
            <a:avLst/>
            <a:gdLst>
              <a:gd name="T0" fmla="*/ 272 w 276"/>
              <a:gd name="T1" fmla="*/ 4 h 216"/>
              <a:gd name="T2" fmla="*/ 261 w 276"/>
              <a:gd name="T3" fmla="*/ 1 h 216"/>
              <a:gd name="T4" fmla="*/ 182 w 276"/>
              <a:gd name="T5" fmla="*/ 29 h 216"/>
              <a:gd name="T6" fmla="*/ 176 w 276"/>
              <a:gd name="T7" fmla="*/ 37 h 216"/>
              <a:gd name="T8" fmla="*/ 179 w 276"/>
              <a:gd name="T9" fmla="*/ 47 h 216"/>
              <a:gd name="T10" fmla="*/ 193 w 276"/>
              <a:gd name="T11" fmla="*/ 60 h 216"/>
              <a:gd name="T12" fmla="*/ 134 w 276"/>
              <a:gd name="T13" fmla="*/ 124 h 216"/>
              <a:gd name="T14" fmla="*/ 131 w 276"/>
              <a:gd name="T15" fmla="*/ 124 h 216"/>
              <a:gd name="T16" fmla="*/ 99 w 276"/>
              <a:gd name="T17" fmla="*/ 96 h 216"/>
              <a:gd name="T18" fmla="*/ 84 w 276"/>
              <a:gd name="T19" fmla="*/ 97 h 216"/>
              <a:gd name="T20" fmla="*/ 3 w 276"/>
              <a:gd name="T21" fmla="*/ 187 h 216"/>
              <a:gd name="T22" fmla="*/ 1 w 276"/>
              <a:gd name="T23" fmla="*/ 194 h 216"/>
              <a:gd name="T24" fmla="*/ 4 w 276"/>
              <a:gd name="T25" fmla="*/ 202 h 216"/>
              <a:gd name="T26" fmla="*/ 17 w 276"/>
              <a:gd name="T27" fmla="*/ 214 h 216"/>
              <a:gd name="T28" fmla="*/ 25 w 276"/>
              <a:gd name="T29" fmla="*/ 216 h 216"/>
              <a:gd name="T30" fmla="*/ 32 w 276"/>
              <a:gd name="T31" fmla="*/ 213 h 216"/>
              <a:gd name="T32" fmla="*/ 92 w 276"/>
              <a:gd name="T33" fmla="*/ 146 h 216"/>
              <a:gd name="T34" fmla="*/ 96 w 276"/>
              <a:gd name="T35" fmla="*/ 146 h 216"/>
              <a:gd name="T36" fmla="*/ 128 w 276"/>
              <a:gd name="T37" fmla="*/ 174 h 216"/>
              <a:gd name="T38" fmla="*/ 143 w 276"/>
              <a:gd name="T39" fmla="*/ 173 h 216"/>
              <a:gd name="T40" fmla="*/ 223 w 276"/>
              <a:gd name="T41" fmla="*/ 85 h 216"/>
              <a:gd name="T42" fmla="*/ 238 w 276"/>
              <a:gd name="T43" fmla="*/ 98 h 216"/>
              <a:gd name="T44" fmla="*/ 248 w 276"/>
              <a:gd name="T45" fmla="*/ 100 h 216"/>
              <a:gd name="T46" fmla="*/ 255 w 276"/>
              <a:gd name="T47" fmla="*/ 93 h 216"/>
              <a:gd name="T48" fmla="*/ 275 w 276"/>
              <a:gd name="T49" fmla="*/ 14 h 216"/>
              <a:gd name="T50" fmla="*/ 272 w 276"/>
              <a:gd name="T51" fmla="*/ 4 h 216"/>
              <a:gd name="T52" fmla="*/ 247 w 276"/>
              <a:gd name="T53" fmla="*/ 91 h 216"/>
              <a:gd name="T54" fmla="*/ 246 w 276"/>
              <a:gd name="T55" fmla="*/ 93 h 216"/>
              <a:gd name="T56" fmla="*/ 243 w 276"/>
              <a:gd name="T57" fmla="*/ 92 h 216"/>
              <a:gd name="T58" fmla="*/ 223 w 276"/>
              <a:gd name="T59" fmla="*/ 74 h 216"/>
              <a:gd name="T60" fmla="*/ 137 w 276"/>
              <a:gd name="T61" fmla="*/ 168 h 216"/>
              <a:gd name="T62" fmla="*/ 133 w 276"/>
              <a:gd name="T63" fmla="*/ 168 h 216"/>
              <a:gd name="T64" fmla="*/ 101 w 276"/>
              <a:gd name="T65" fmla="*/ 140 h 216"/>
              <a:gd name="T66" fmla="*/ 86 w 276"/>
              <a:gd name="T67" fmla="*/ 141 h 216"/>
              <a:gd name="T68" fmla="*/ 26 w 276"/>
              <a:gd name="T69" fmla="*/ 208 h 216"/>
              <a:gd name="T70" fmla="*/ 25 w 276"/>
              <a:gd name="T71" fmla="*/ 208 h 216"/>
              <a:gd name="T72" fmla="*/ 23 w 276"/>
              <a:gd name="T73" fmla="*/ 208 h 216"/>
              <a:gd name="T74" fmla="*/ 9 w 276"/>
              <a:gd name="T75" fmla="*/ 196 h 216"/>
              <a:gd name="T76" fmla="*/ 9 w 276"/>
              <a:gd name="T77" fmla="*/ 194 h 216"/>
              <a:gd name="T78" fmla="*/ 9 w 276"/>
              <a:gd name="T79" fmla="*/ 192 h 216"/>
              <a:gd name="T80" fmla="*/ 90 w 276"/>
              <a:gd name="T81" fmla="*/ 103 h 216"/>
              <a:gd name="T82" fmla="*/ 92 w 276"/>
              <a:gd name="T83" fmla="*/ 102 h 216"/>
              <a:gd name="T84" fmla="*/ 93 w 276"/>
              <a:gd name="T85" fmla="*/ 102 h 216"/>
              <a:gd name="T86" fmla="*/ 125 w 276"/>
              <a:gd name="T87" fmla="*/ 130 h 216"/>
              <a:gd name="T88" fmla="*/ 140 w 276"/>
              <a:gd name="T89" fmla="*/ 129 h 216"/>
              <a:gd name="T90" fmla="*/ 205 w 276"/>
              <a:gd name="T91" fmla="*/ 59 h 216"/>
              <a:gd name="T92" fmla="*/ 184 w 276"/>
              <a:gd name="T93" fmla="*/ 41 h 216"/>
              <a:gd name="T94" fmla="*/ 184 w 276"/>
              <a:gd name="T95" fmla="*/ 39 h 216"/>
              <a:gd name="T96" fmla="*/ 185 w 276"/>
              <a:gd name="T97" fmla="*/ 37 h 216"/>
              <a:gd name="T98" fmla="*/ 264 w 276"/>
              <a:gd name="T99" fmla="*/ 9 h 216"/>
              <a:gd name="T100" fmla="*/ 266 w 276"/>
              <a:gd name="T101" fmla="*/ 9 h 216"/>
              <a:gd name="T102" fmla="*/ 267 w 276"/>
              <a:gd name="T103" fmla="*/ 12 h 216"/>
              <a:gd name="T104" fmla="*/ 247 w 276"/>
              <a:gd name="T105" fmla="*/ 91 h 2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</a:cxnLst>
            <a:rect l="0" t="0" r="r" b="b"/>
            <a:pathLst>
              <a:path w="276" h="216">
                <a:moveTo>
                  <a:pt x="272" y="4"/>
                </a:moveTo>
                <a:cubicBezTo>
                  <a:pt x="269" y="1"/>
                  <a:pt x="265" y="0"/>
                  <a:pt x="261" y="1"/>
                </a:cubicBezTo>
                <a:cubicBezTo>
                  <a:pt x="182" y="29"/>
                  <a:pt x="182" y="29"/>
                  <a:pt x="182" y="29"/>
                </a:cubicBezTo>
                <a:cubicBezTo>
                  <a:pt x="179" y="31"/>
                  <a:pt x="176" y="34"/>
                  <a:pt x="176" y="37"/>
                </a:cubicBezTo>
                <a:cubicBezTo>
                  <a:pt x="175" y="41"/>
                  <a:pt x="176" y="45"/>
                  <a:pt x="179" y="47"/>
                </a:cubicBezTo>
                <a:cubicBezTo>
                  <a:pt x="193" y="60"/>
                  <a:pt x="193" y="60"/>
                  <a:pt x="193" y="60"/>
                </a:cubicBezTo>
                <a:cubicBezTo>
                  <a:pt x="134" y="124"/>
                  <a:pt x="134" y="124"/>
                  <a:pt x="134" y="124"/>
                </a:cubicBezTo>
                <a:cubicBezTo>
                  <a:pt x="133" y="125"/>
                  <a:pt x="132" y="125"/>
                  <a:pt x="131" y="124"/>
                </a:cubicBezTo>
                <a:cubicBezTo>
                  <a:pt x="99" y="96"/>
                  <a:pt x="99" y="96"/>
                  <a:pt x="99" y="96"/>
                </a:cubicBezTo>
                <a:cubicBezTo>
                  <a:pt x="94" y="93"/>
                  <a:pt x="88" y="93"/>
                  <a:pt x="84" y="97"/>
                </a:cubicBezTo>
                <a:cubicBezTo>
                  <a:pt x="3" y="187"/>
                  <a:pt x="3" y="187"/>
                  <a:pt x="3" y="187"/>
                </a:cubicBezTo>
                <a:cubicBezTo>
                  <a:pt x="1" y="189"/>
                  <a:pt x="0" y="191"/>
                  <a:pt x="1" y="194"/>
                </a:cubicBezTo>
                <a:cubicBezTo>
                  <a:pt x="1" y="197"/>
                  <a:pt x="2" y="200"/>
                  <a:pt x="4" y="202"/>
                </a:cubicBezTo>
                <a:cubicBezTo>
                  <a:pt x="17" y="214"/>
                  <a:pt x="17" y="214"/>
                  <a:pt x="17" y="214"/>
                </a:cubicBezTo>
                <a:cubicBezTo>
                  <a:pt x="19" y="215"/>
                  <a:pt x="22" y="216"/>
                  <a:pt x="25" y="216"/>
                </a:cubicBezTo>
                <a:cubicBezTo>
                  <a:pt x="28" y="216"/>
                  <a:pt x="30" y="215"/>
                  <a:pt x="32" y="213"/>
                </a:cubicBezTo>
                <a:cubicBezTo>
                  <a:pt x="92" y="146"/>
                  <a:pt x="92" y="146"/>
                  <a:pt x="92" y="146"/>
                </a:cubicBezTo>
                <a:cubicBezTo>
                  <a:pt x="93" y="145"/>
                  <a:pt x="95" y="145"/>
                  <a:pt x="96" y="146"/>
                </a:cubicBezTo>
                <a:cubicBezTo>
                  <a:pt x="128" y="174"/>
                  <a:pt x="128" y="174"/>
                  <a:pt x="128" y="174"/>
                </a:cubicBezTo>
                <a:cubicBezTo>
                  <a:pt x="132" y="178"/>
                  <a:pt x="139" y="177"/>
                  <a:pt x="143" y="173"/>
                </a:cubicBezTo>
                <a:cubicBezTo>
                  <a:pt x="223" y="85"/>
                  <a:pt x="223" y="85"/>
                  <a:pt x="223" y="85"/>
                </a:cubicBezTo>
                <a:cubicBezTo>
                  <a:pt x="238" y="98"/>
                  <a:pt x="238" y="98"/>
                  <a:pt x="238" y="98"/>
                </a:cubicBezTo>
                <a:cubicBezTo>
                  <a:pt x="241" y="101"/>
                  <a:pt x="245" y="102"/>
                  <a:pt x="248" y="100"/>
                </a:cubicBezTo>
                <a:cubicBezTo>
                  <a:pt x="252" y="99"/>
                  <a:pt x="254" y="97"/>
                  <a:pt x="255" y="93"/>
                </a:cubicBezTo>
                <a:cubicBezTo>
                  <a:pt x="275" y="14"/>
                  <a:pt x="275" y="14"/>
                  <a:pt x="275" y="14"/>
                </a:cubicBezTo>
                <a:cubicBezTo>
                  <a:pt x="276" y="10"/>
                  <a:pt x="275" y="6"/>
                  <a:pt x="272" y="4"/>
                </a:cubicBezTo>
                <a:close/>
                <a:moveTo>
                  <a:pt x="247" y="91"/>
                </a:moveTo>
                <a:cubicBezTo>
                  <a:pt x="247" y="92"/>
                  <a:pt x="247" y="93"/>
                  <a:pt x="246" y="93"/>
                </a:cubicBezTo>
                <a:cubicBezTo>
                  <a:pt x="245" y="93"/>
                  <a:pt x="244" y="93"/>
                  <a:pt x="243" y="92"/>
                </a:cubicBezTo>
                <a:cubicBezTo>
                  <a:pt x="223" y="74"/>
                  <a:pt x="223" y="74"/>
                  <a:pt x="223" y="74"/>
                </a:cubicBezTo>
                <a:cubicBezTo>
                  <a:pt x="137" y="168"/>
                  <a:pt x="137" y="168"/>
                  <a:pt x="137" y="168"/>
                </a:cubicBezTo>
                <a:cubicBezTo>
                  <a:pt x="136" y="169"/>
                  <a:pt x="134" y="169"/>
                  <a:pt x="133" y="168"/>
                </a:cubicBezTo>
                <a:cubicBezTo>
                  <a:pt x="101" y="140"/>
                  <a:pt x="101" y="140"/>
                  <a:pt x="101" y="140"/>
                </a:cubicBezTo>
                <a:cubicBezTo>
                  <a:pt x="97" y="136"/>
                  <a:pt x="90" y="137"/>
                  <a:pt x="86" y="141"/>
                </a:cubicBezTo>
                <a:cubicBezTo>
                  <a:pt x="26" y="208"/>
                  <a:pt x="26" y="208"/>
                  <a:pt x="26" y="208"/>
                </a:cubicBezTo>
                <a:cubicBezTo>
                  <a:pt x="26" y="208"/>
                  <a:pt x="25" y="208"/>
                  <a:pt x="25" y="208"/>
                </a:cubicBezTo>
                <a:cubicBezTo>
                  <a:pt x="24" y="208"/>
                  <a:pt x="23" y="208"/>
                  <a:pt x="23" y="208"/>
                </a:cubicBezTo>
                <a:cubicBezTo>
                  <a:pt x="9" y="196"/>
                  <a:pt x="9" y="196"/>
                  <a:pt x="9" y="196"/>
                </a:cubicBezTo>
                <a:cubicBezTo>
                  <a:pt x="9" y="195"/>
                  <a:pt x="9" y="194"/>
                  <a:pt x="9" y="194"/>
                </a:cubicBezTo>
                <a:cubicBezTo>
                  <a:pt x="8" y="193"/>
                  <a:pt x="9" y="192"/>
                  <a:pt x="9" y="192"/>
                </a:cubicBezTo>
                <a:cubicBezTo>
                  <a:pt x="90" y="103"/>
                  <a:pt x="90" y="103"/>
                  <a:pt x="90" y="103"/>
                </a:cubicBezTo>
                <a:cubicBezTo>
                  <a:pt x="90" y="102"/>
                  <a:pt x="91" y="102"/>
                  <a:pt x="92" y="102"/>
                </a:cubicBezTo>
                <a:cubicBezTo>
                  <a:pt x="92" y="102"/>
                  <a:pt x="93" y="102"/>
                  <a:pt x="93" y="102"/>
                </a:cubicBezTo>
                <a:cubicBezTo>
                  <a:pt x="125" y="130"/>
                  <a:pt x="125" y="130"/>
                  <a:pt x="125" y="130"/>
                </a:cubicBezTo>
                <a:cubicBezTo>
                  <a:pt x="130" y="134"/>
                  <a:pt x="136" y="134"/>
                  <a:pt x="140" y="129"/>
                </a:cubicBezTo>
                <a:cubicBezTo>
                  <a:pt x="205" y="59"/>
                  <a:pt x="205" y="59"/>
                  <a:pt x="205" y="59"/>
                </a:cubicBezTo>
                <a:cubicBezTo>
                  <a:pt x="184" y="41"/>
                  <a:pt x="184" y="41"/>
                  <a:pt x="184" y="41"/>
                </a:cubicBezTo>
                <a:cubicBezTo>
                  <a:pt x="184" y="40"/>
                  <a:pt x="183" y="40"/>
                  <a:pt x="184" y="39"/>
                </a:cubicBezTo>
                <a:cubicBezTo>
                  <a:pt x="184" y="38"/>
                  <a:pt x="184" y="37"/>
                  <a:pt x="185" y="37"/>
                </a:cubicBezTo>
                <a:cubicBezTo>
                  <a:pt x="264" y="9"/>
                  <a:pt x="264" y="9"/>
                  <a:pt x="264" y="9"/>
                </a:cubicBezTo>
                <a:cubicBezTo>
                  <a:pt x="265" y="9"/>
                  <a:pt x="266" y="9"/>
                  <a:pt x="266" y="9"/>
                </a:cubicBezTo>
                <a:cubicBezTo>
                  <a:pt x="267" y="10"/>
                  <a:pt x="267" y="11"/>
                  <a:pt x="267" y="12"/>
                </a:cubicBezTo>
                <a:lnTo>
                  <a:pt x="247" y="91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20" name="Freeform 115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EditPoints="1"/>
          </xdr:cNvSpPr>
        </xdr:nvSpPr>
        <xdr:spPr bwMode="auto">
          <a:xfrm>
            <a:off x="10755313" y="833439"/>
            <a:ext cx="30163" cy="71438"/>
          </a:xfrm>
          <a:custGeom>
            <a:avLst/>
            <a:gdLst>
              <a:gd name="T0" fmla="*/ 15 w 27"/>
              <a:gd name="T1" fmla="*/ 0 h 62"/>
              <a:gd name="T2" fmla="*/ 12 w 27"/>
              <a:gd name="T3" fmla="*/ 0 h 62"/>
              <a:gd name="T4" fmla="*/ 0 w 27"/>
              <a:gd name="T5" fmla="*/ 12 h 62"/>
              <a:gd name="T6" fmla="*/ 0 w 27"/>
              <a:gd name="T7" fmla="*/ 50 h 62"/>
              <a:gd name="T8" fmla="*/ 12 w 27"/>
              <a:gd name="T9" fmla="*/ 62 h 62"/>
              <a:gd name="T10" fmla="*/ 15 w 27"/>
              <a:gd name="T11" fmla="*/ 62 h 62"/>
              <a:gd name="T12" fmla="*/ 27 w 27"/>
              <a:gd name="T13" fmla="*/ 50 h 62"/>
              <a:gd name="T14" fmla="*/ 27 w 27"/>
              <a:gd name="T15" fmla="*/ 12 h 62"/>
              <a:gd name="T16" fmla="*/ 15 w 27"/>
              <a:gd name="T17" fmla="*/ 0 h 62"/>
              <a:gd name="T18" fmla="*/ 19 w 27"/>
              <a:gd name="T19" fmla="*/ 50 h 62"/>
              <a:gd name="T20" fmla="*/ 15 w 27"/>
              <a:gd name="T21" fmla="*/ 54 h 62"/>
              <a:gd name="T22" fmla="*/ 12 w 27"/>
              <a:gd name="T23" fmla="*/ 54 h 62"/>
              <a:gd name="T24" fmla="*/ 8 w 27"/>
              <a:gd name="T25" fmla="*/ 50 h 62"/>
              <a:gd name="T26" fmla="*/ 8 w 27"/>
              <a:gd name="T27" fmla="*/ 12 h 62"/>
              <a:gd name="T28" fmla="*/ 12 w 27"/>
              <a:gd name="T29" fmla="*/ 8 h 62"/>
              <a:gd name="T30" fmla="*/ 15 w 27"/>
              <a:gd name="T31" fmla="*/ 8 h 62"/>
              <a:gd name="T32" fmla="*/ 19 w 27"/>
              <a:gd name="T33" fmla="*/ 12 h 62"/>
              <a:gd name="T34" fmla="*/ 19 w 27"/>
              <a:gd name="T35" fmla="*/ 50 h 6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7" h="62">
                <a:moveTo>
                  <a:pt x="15" y="0"/>
                </a:moveTo>
                <a:cubicBezTo>
                  <a:pt x="12" y="0"/>
                  <a:pt x="12" y="0"/>
                  <a:pt x="12" y="0"/>
                </a:cubicBezTo>
                <a:cubicBezTo>
                  <a:pt x="5" y="0"/>
                  <a:pt x="0" y="5"/>
                  <a:pt x="0" y="12"/>
                </a:cubicBezTo>
                <a:cubicBezTo>
                  <a:pt x="0" y="50"/>
                  <a:pt x="0" y="50"/>
                  <a:pt x="0" y="50"/>
                </a:cubicBezTo>
                <a:cubicBezTo>
                  <a:pt x="0" y="57"/>
                  <a:pt x="5" y="62"/>
                  <a:pt x="12" y="62"/>
                </a:cubicBezTo>
                <a:cubicBezTo>
                  <a:pt x="15" y="62"/>
                  <a:pt x="15" y="62"/>
                  <a:pt x="15" y="62"/>
                </a:cubicBezTo>
                <a:cubicBezTo>
                  <a:pt x="22" y="62"/>
                  <a:pt x="27" y="57"/>
                  <a:pt x="27" y="50"/>
                </a:cubicBezTo>
                <a:cubicBezTo>
                  <a:pt x="27" y="12"/>
                  <a:pt x="27" y="12"/>
                  <a:pt x="27" y="12"/>
                </a:cubicBezTo>
                <a:cubicBezTo>
                  <a:pt x="27" y="5"/>
                  <a:pt x="22" y="0"/>
                  <a:pt x="15" y="0"/>
                </a:cubicBezTo>
                <a:close/>
                <a:moveTo>
                  <a:pt x="19" y="50"/>
                </a:moveTo>
                <a:cubicBezTo>
                  <a:pt x="19" y="53"/>
                  <a:pt x="17" y="54"/>
                  <a:pt x="15" y="54"/>
                </a:cubicBezTo>
                <a:cubicBezTo>
                  <a:pt x="12" y="54"/>
                  <a:pt x="12" y="54"/>
                  <a:pt x="12" y="54"/>
                </a:cubicBezTo>
                <a:cubicBezTo>
                  <a:pt x="10" y="54"/>
                  <a:pt x="8" y="53"/>
                  <a:pt x="8" y="50"/>
                </a:cubicBezTo>
                <a:cubicBezTo>
                  <a:pt x="8" y="12"/>
                  <a:pt x="8" y="12"/>
                  <a:pt x="8" y="12"/>
                </a:cubicBezTo>
                <a:cubicBezTo>
                  <a:pt x="8" y="9"/>
                  <a:pt x="10" y="8"/>
                  <a:pt x="12" y="8"/>
                </a:cubicBezTo>
                <a:cubicBezTo>
                  <a:pt x="15" y="8"/>
                  <a:pt x="15" y="8"/>
                  <a:pt x="15" y="8"/>
                </a:cubicBezTo>
                <a:cubicBezTo>
                  <a:pt x="17" y="8"/>
                  <a:pt x="19" y="9"/>
                  <a:pt x="19" y="12"/>
                </a:cubicBezTo>
                <a:lnTo>
                  <a:pt x="19" y="50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21" name="Freeform 116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 noEditPoints="1"/>
          </xdr:cNvSpPr>
        </xdr:nvSpPr>
        <xdr:spPr bwMode="auto">
          <a:xfrm>
            <a:off x="10714038" y="858839"/>
            <a:ext cx="31750" cy="46038"/>
          </a:xfrm>
          <a:custGeom>
            <a:avLst/>
            <a:gdLst>
              <a:gd name="T0" fmla="*/ 16 w 28"/>
              <a:gd name="T1" fmla="*/ 0 h 40"/>
              <a:gd name="T2" fmla="*/ 12 w 28"/>
              <a:gd name="T3" fmla="*/ 0 h 40"/>
              <a:gd name="T4" fmla="*/ 0 w 28"/>
              <a:gd name="T5" fmla="*/ 12 h 40"/>
              <a:gd name="T6" fmla="*/ 0 w 28"/>
              <a:gd name="T7" fmla="*/ 28 h 40"/>
              <a:gd name="T8" fmla="*/ 12 w 28"/>
              <a:gd name="T9" fmla="*/ 40 h 40"/>
              <a:gd name="T10" fmla="*/ 16 w 28"/>
              <a:gd name="T11" fmla="*/ 40 h 40"/>
              <a:gd name="T12" fmla="*/ 28 w 28"/>
              <a:gd name="T13" fmla="*/ 28 h 40"/>
              <a:gd name="T14" fmla="*/ 28 w 28"/>
              <a:gd name="T15" fmla="*/ 12 h 40"/>
              <a:gd name="T16" fmla="*/ 16 w 28"/>
              <a:gd name="T17" fmla="*/ 0 h 40"/>
              <a:gd name="T18" fmla="*/ 20 w 28"/>
              <a:gd name="T19" fmla="*/ 28 h 40"/>
              <a:gd name="T20" fmla="*/ 16 w 28"/>
              <a:gd name="T21" fmla="*/ 32 h 40"/>
              <a:gd name="T22" fmla="*/ 12 w 28"/>
              <a:gd name="T23" fmla="*/ 32 h 40"/>
              <a:gd name="T24" fmla="*/ 8 w 28"/>
              <a:gd name="T25" fmla="*/ 28 h 40"/>
              <a:gd name="T26" fmla="*/ 8 w 28"/>
              <a:gd name="T27" fmla="*/ 12 h 40"/>
              <a:gd name="T28" fmla="*/ 12 w 28"/>
              <a:gd name="T29" fmla="*/ 8 h 40"/>
              <a:gd name="T30" fmla="*/ 16 w 28"/>
              <a:gd name="T31" fmla="*/ 8 h 40"/>
              <a:gd name="T32" fmla="*/ 20 w 28"/>
              <a:gd name="T33" fmla="*/ 12 h 40"/>
              <a:gd name="T34" fmla="*/ 20 w 28"/>
              <a:gd name="T35" fmla="*/ 28 h 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8" h="40">
                <a:moveTo>
                  <a:pt x="16" y="0"/>
                </a:moveTo>
                <a:cubicBezTo>
                  <a:pt x="12" y="0"/>
                  <a:pt x="12" y="0"/>
                  <a:pt x="12" y="0"/>
                </a:cubicBezTo>
                <a:cubicBezTo>
                  <a:pt x="6" y="0"/>
                  <a:pt x="0" y="5"/>
                  <a:pt x="0" y="12"/>
                </a:cubicBezTo>
                <a:cubicBezTo>
                  <a:pt x="0" y="28"/>
                  <a:pt x="0" y="28"/>
                  <a:pt x="0" y="28"/>
                </a:cubicBezTo>
                <a:cubicBezTo>
                  <a:pt x="0" y="35"/>
                  <a:pt x="6" y="40"/>
                  <a:pt x="12" y="40"/>
                </a:cubicBezTo>
                <a:cubicBezTo>
                  <a:pt x="16" y="40"/>
                  <a:pt x="16" y="40"/>
                  <a:pt x="16" y="40"/>
                </a:cubicBezTo>
                <a:cubicBezTo>
                  <a:pt x="22" y="40"/>
                  <a:pt x="28" y="35"/>
                  <a:pt x="28" y="28"/>
                </a:cubicBezTo>
                <a:cubicBezTo>
                  <a:pt x="28" y="12"/>
                  <a:pt x="28" y="12"/>
                  <a:pt x="28" y="12"/>
                </a:cubicBezTo>
                <a:cubicBezTo>
                  <a:pt x="28" y="5"/>
                  <a:pt x="22" y="0"/>
                  <a:pt x="16" y="0"/>
                </a:cubicBezTo>
                <a:close/>
                <a:moveTo>
                  <a:pt x="20" y="28"/>
                </a:moveTo>
                <a:cubicBezTo>
                  <a:pt x="20" y="31"/>
                  <a:pt x="18" y="32"/>
                  <a:pt x="16" y="32"/>
                </a:cubicBezTo>
                <a:cubicBezTo>
                  <a:pt x="12" y="32"/>
                  <a:pt x="12" y="32"/>
                  <a:pt x="12" y="32"/>
                </a:cubicBezTo>
                <a:cubicBezTo>
                  <a:pt x="10" y="32"/>
                  <a:pt x="8" y="31"/>
                  <a:pt x="8" y="28"/>
                </a:cubicBezTo>
                <a:cubicBezTo>
                  <a:pt x="8" y="12"/>
                  <a:pt x="8" y="12"/>
                  <a:pt x="8" y="12"/>
                </a:cubicBezTo>
                <a:cubicBezTo>
                  <a:pt x="8" y="9"/>
                  <a:pt x="10" y="8"/>
                  <a:pt x="12" y="8"/>
                </a:cubicBezTo>
                <a:cubicBezTo>
                  <a:pt x="16" y="8"/>
                  <a:pt x="16" y="8"/>
                  <a:pt x="16" y="8"/>
                </a:cubicBezTo>
                <a:cubicBezTo>
                  <a:pt x="18" y="8"/>
                  <a:pt x="20" y="9"/>
                  <a:pt x="20" y="12"/>
                </a:cubicBezTo>
                <a:lnTo>
                  <a:pt x="20" y="28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22" name="Freeform 117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 noEditPoints="1"/>
          </xdr:cNvSpPr>
        </xdr:nvSpPr>
        <xdr:spPr bwMode="auto">
          <a:xfrm>
            <a:off x="10674350" y="865189"/>
            <a:ext cx="30163" cy="39688"/>
          </a:xfrm>
          <a:custGeom>
            <a:avLst/>
            <a:gdLst>
              <a:gd name="T0" fmla="*/ 15 w 27"/>
              <a:gd name="T1" fmla="*/ 0 h 34"/>
              <a:gd name="T2" fmla="*/ 12 w 27"/>
              <a:gd name="T3" fmla="*/ 0 h 34"/>
              <a:gd name="T4" fmla="*/ 0 w 27"/>
              <a:gd name="T5" fmla="*/ 12 h 34"/>
              <a:gd name="T6" fmla="*/ 0 w 27"/>
              <a:gd name="T7" fmla="*/ 22 h 34"/>
              <a:gd name="T8" fmla="*/ 12 w 27"/>
              <a:gd name="T9" fmla="*/ 34 h 34"/>
              <a:gd name="T10" fmla="*/ 15 w 27"/>
              <a:gd name="T11" fmla="*/ 34 h 34"/>
              <a:gd name="T12" fmla="*/ 27 w 27"/>
              <a:gd name="T13" fmla="*/ 22 h 34"/>
              <a:gd name="T14" fmla="*/ 27 w 27"/>
              <a:gd name="T15" fmla="*/ 12 h 34"/>
              <a:gd name="T16" fmla="*/ 15 w 27"/>
              <a:gd name="T17" fmla="*/ 0 h 34"/>
              <a:gd name="T18" fmla="*/ 19 w 27"/>
              <a:gd name="T19" fmla="*/ 22 h 34"/>
              <a:gd name="T20" fmla="*/ 15 w 27"/>
              <a:gd name="T21" fmla="*/ 26 h 34"/>
              <a:gd name="T22" fmla="*/ 12 w 27"/>
              <a:gd name="T23" fmla="*/ 26 h 34"/>
              <a:gd name="T24" fmla="*/ 8 w 27"/>
              <a:gd name="T25" fmla="*/ 22 h 34"/>
              <a:gd name="T26" fmla="*/ 8 w 27"/>
              <a:gd name="T27" fmla="*/ 12 h 34"/>
              <a:gd name="T28" fmla="*/ 12 w 27"/>
              <a:gd name="T29" fmla="*/ 8 h 34"/>
              <a:gd name="T30" fmla="*/ 15 w 27"/>
              <a:gd name="T31" fmla="*/ 8 h 34"/>
              <a:gd name="T32" fmla="*/ 19 w 27"/>
              <a:gd name="T33" fmla="*/ 12 h 34"/>
              <a:gd name="T34" fmla="*/ 19 w 27"/>
              <a:gd name="T35" fmla="*/ 22 h 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7" h="34">
                <a:moveTo>
                  <a:pt x="15" y="0"/>
                </a:moveTo>
                <a:cubicBezTo>
                  <a:pt x="12" y="0"/>
                  <a:pt x="12" y="0"/>
                  <a:pt x="12" y="0"/>
                </a:cubicBezTo>
                <a:cubicBezTo>
                  <a:pt x="5" y="0"/>
                  <a:pt x="0" y="5"/>
                  <a:pt x="0" y="12"/>
                </a:cubicBezTo>
                <a:cubicBezTo>
                  <a:pt x="0" y="22"/>
                  <a:pt x="0" y="22"/>
                  <a:pt x="0" y="22"/>
                </a:cubicBezTo>
                <a:cubicBezTo>
                  <a:pt x="0" y="29"/>
                  <a:pt x="5" y="34"/>
                  <a:pt x="12" y="34"/>
                </a:cubicBezTo>
                <a:cubicBezTo>
                  <a:pt x="15" y="34"/>
                  <a:pt x="15" y="34"/>
                  <a:pt x="15" y="34"/>
                </a:cubicBezTo>
                <a:cubicBezTo>
                  <a:pt x="22" y="34"/>
                  <a:pt x="27" y="29"/>
                  <a:pt x="27" y="22"/>
                </a:cubicBezTo>
                <a:cubicBezTo>
                  <a:pt x="27" y="12"/>
                  <a:pt x="27" y="12"/>
                  <a:pt x="27" y="12"/>
                </a:cubicBezTo>
                <a:cubicBezTo>
                  <a:pt x="27" y="5"/>
                  <a:pt x="22" y="0"/>
                  <a:pt x="15" y="0"/>
                </a:cubicBezTo>
                <a:close/>
                <a:moveTo>
                  <a:pt x="19" y="22"/>
                </a:moveTo>
                <a:cubicBezTo>
                  <a:pt x="19" y="25"/>
                  <a:pt x="18" y="26"/>
                  <a:pt x="15" y="26"/>
                </a:cubicBezTo>
                <a:cubicBezTo>
                  <a:pt x="12" y="26"/>
                  <a:pt x="12" y="26"/>
                  <a:pt x="12" y="26"/>
                </a:cubicBezTo>
                <a:cubicBezTo>
                  <a:pt x="10" y="26"/>
                  <a:pt x="8" y="25"/>
                  <a:pt x="8" y="22"/>
                </a:cubicBezTo>
                <a:cubicBezTo>
                  <a:pt x="8" y="12"/>
                  <a:pt x="8" y="12"/>
                  <a:pt x="8" y="12"/>
                </a:cubicBezTo>
                <a:cubicBezTo>
                  <a:pt x="8" y="10"/>
                  <a:pt x="10" y="8"/>
                  <a:pt x="12" y="8"/>
                </a:cubicBezTo>
                <a:cubicBezTo>
                  <a:pt x="15" y="8"/>
                  <a:pt x="15" y="8"/>
                  <a:pt x="15" y="8"/>
                </a:cubicBezTo>
                <a:cubicBezTo>
                  <a:pt x="18" y="8"/>
                  <a:pt x="19" y="10"/>
                  <a:pt x="19" y="12"/>
                </a:cubicBezTo>
                <a:lnTo>
                  <a:pt x="19" y="2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23" name="Freeform 118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 noEditPoints="1"/>
          </xdr:cNvSpPr>
        </xdr:nvSpPr>
        <xdr:spPr bwMode="auto">
          <a:xfrm>
            <a:off x="10796588" y="850901"/>
            <a:ext cx="30163" cy="53975"/>
          </a:xfrm>
          <a:custGeom>
            <a:avLst/>
            <a:gdLst>
              <a:gd name="T0" fmla="*/ 15 w 27"/>
              <a:gd name="T1" fmla="*/ 0 h 47"/>
              <a:gd name="T2" fmla="*/ 12 w 27"/>
              <a:gd name="T3" fmla="*/ 0 h 47"/>
              <a:gd name="T4" fmla="*/ 0 w 27"/>
              <a:gd name="T5" fmla="*/ 12 h 47"/>
              <a:gd name="T6" fmla="*/ 0 w 27"/>
              <a:gd name="T7" fmla="*/ 35 h 47"/>
              <a:gd name="T8" fmla="*/ 12 w 27"/>
              <a:gd name="T9" fmla="*/ 47 h 47"/>
              <a:gd name="T10" fmla="*/ 15 w 27"/>
              <a:gd name="T11" fmla="*/ 47 h 47"/>
              <a:gd name="T12" fmla="*/ 27 w 27"/>
              <a:gd name="T13" fmla="*/ 35 h 47"/>
              <a:gd name="T14" fmla="*/ 27 w 27"/>
              <a:gd name="T15" fmla="*/ 12 h 47"/>
              <a:gd name="T16" fmla="*/ 15 w 27"/>
              <a:gd name="T17" fmla="*/ 0 h 47"/>
              <a:gd name="T18" fmla="*/ 19 w 27"/>
              <a:gd name="T19" fmla="*/ 35 h 47"/>
              <a:gd name="T20" fmla="*/ 15 w 27"/>
              <a:gd name="T21" fmla="*/ 39 h 47"/>
              <a:gd name="T22" fmla="*/ 12 w 27"/>
              <a:gd name="T23" fmla="*/ 39 h 47"/>
              <a:gd name="T24" fmla="*/ 8 w 27"/>
              <a:gd name="T25" fmla="*/ 35 h 47"/>
              <a:gd name="T26" fmla="*/ 8 w 27"/>
              <a:gd name="T27" fmla="*/ 12 h 47"/>
              <a:gd name="T28" fmla="*/ 12 w 27"/>
              <a:gd name="T29" fmla="*/ 8 h 47"/>
              <a:gd name="T30" fmla="*/ 15 w 27"/>
              <a:gd name="T31" fmla="*/ 8 h 47"/>
              <a:gd name="T32" fmla="*/ 19 w 27"/>
              <a:gd name="T33" fmla="*/ 12 h 47"/>
              <a:gd name="T34" fmla="*/ 19 w 27"/>
              <a:gd name="T35" fmla="*/ 35 h 4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7" h="47">
                <a:moveTo>
                  <a:pt x="15" y="0"/>
                </a:moveTo>
                <a:cubicBezTo>
                  <a:pt x="12" y="0"/>
                  <a:pt x="12" y="0"/>
                  <a:pt x="12" y="0"/>
                </a:cubicBezTo>
                <a:cubicBezTo>
                  <a:pt x="5" y="0"/>
                  <a:pt x="0" y="6"/>
                  <a:pt x="0" y="12"/>
                </a:cubicBezTo>
                <a:cubicBezTo>
                  <a:pt x="0" y="35"/>
                  <a:pt x="0" y="35"/>
                  <a:pt x="0" y="35"/>
                </a:cubicBezTo>
                <a:cubicBezTo>
                  <a:pt x="0" y="42"/>
                  <a:pt x="5" y="47"/>
                  <a:pt x="12" y="47"/>
                </a:cubicBezTo>
                <a:cubicBezTo>
                  <a:pt x="15" y="47"/>
                  <a:pt x="15" y="47"/>
                  <a:pt x="15" y="47"/>
                </a:cubicBezTo>
                <a:cubicBezTo>
                  <a:pt x="22" y="47"/>
                  <a:pt x="27" y="42"/>
                  <a:pt x="27" y="35"/>
                </a:cubicBezTo>
                <a:cubicBezTo>
                  <a:pt x="27" y="12"/>
                  <a:pt x="27" y="12"/>
                  <a:pt x="27" y="12"/>
                </a:cubicBezTo>
                <a:cubicBezTo>
                  <a:pt x="27" y="6"/>
                  <a:pt x="22" y="0"/>
                  <a:pt x="15" y="0"/>
                </a:cubicBezTo>
                <a:close/>
                <a:moveTo>
                  <a:pt x="19" y="35"/>
                </a:moveTo>
                <a:cubicBezTo>
                  <a:pt x="19" y="38"/>
                  <a:pt x="18" y="39"/>
                  <a:pt x="15" y="39"/>
                </a:cubicBezTo>
                <a:cubicBezTo>
                  <a:pt x="12" y="39"/>
                  <a:pt x="12" y="39"/>
                  <a:pt x="12" y="39"/>
                </a:cubicBezTo>
                <a:cubicBezTo>
                  <a:pt x="10" y="39"/>
                  <a:pt x="8" y="38"/>
                  <a:pt x="8" y="35"/>
                </a:cubicBezTo>
                <a:cubicBezTo>
                  <a:pt x="8" y="12"/>
                  <a:pt x="8" y="12"/>
                  <a:pt x="8" y="12"/>
                </a:cubicBezTo>
                <a:cubicBezTo>
                  <a:pt x="8" y="10"/>
                  <a:pt x="10" y="8"/>
                  <a:pt x="12" y="8"/>
                </a:cubicBezTo>
                <a:cubicBezTo>
                  <a:pt x="15" y="8"/>
                  <a:pt x="15" y="8"/>
                  <a:pt x="15" y="8"/>
                </a:cubicBezTo>
                <a:cubicBezTo>
                  <a:pt x="18" y="8"/>
                  <a:pt x="19" y="10"/>
                  <a:pt x="19" y="12"/>
                </a:cubicBezTo>
                <a:lnTo>
                  <a:pt x="19" y="35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24" name="Freeform 119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EditPoints="1"/>
          </xdr:cNvSpPr>
        </xdr:nvSpPr>
        <xdr:spPr bwMode="auto">
          <a:xfrm>
            <a:off x="10837863" y="819151"/>
            <a:ext cx="31750" cy="85725"/>
          </a:xfrm>
          <a:custGeom>
            <a:avLst/>
            <a:gdLst>
              <a:gd name="T0" fmla="*/ 16 w 28"/>
              <a:gd name="T1" fmla="*/ 0 h 75"/>
              <a:gd name="T2" fmla="*/ 12 w 28"/>
              <a:gd name="T3" fmla="*/ 0 h 75"/>
              <a:gd name="T4" fmla="*/ 0 w 28"/>
              <a:gd name="T5" fmla="*/ 12 h 75"/>
              <a:gd name="T6" fmla="*/ 0 w 28"/>
              <a:gd name="T7" fmla="*/ 63 h 75"/>
              <a:gd name="T8" fmla="*/ 12 w 28"/>
              <a:gd name="T9" fmla="*/ 75 h 75"/>
              <a:gd name="T10" fmla="*/ 16 w 28"/>
              <a:gd name="T11" fmla="*/ 75 h 75"/>
              <a:gd name="T12" fmla="*/ 28 w 28"/>
              <a:gd name="T13" fmla="*/ 63 h 75"/>
              <a:gd name="T14" fmla="*/ 28 w 28"/>
              <a:gd name="T15" fmla="*/ 12 h 75"/>
              <a:gd name="T16" fmla="*/ 16 w 28"/>
              <a:gd name="T17" fmla="*/ 0 h 75"/>
              <a:gd name="T18" fmla="*/ 20 w 28"/>
              <a:gd name="T19" fmla="*/ 63 h 75"/>
              <a:gd name="T20" fmla="*/ 16 w 28"/>
              <a:gd name="T21" fmla="*/ 67 h 75"/>
              <a:gd name="T22" fmla="*/ 12 w 28"/>
              <a:gd name="T23" fmla="*/ 67 h 75"/>
              <a:gd name="T24" fmla="*/ 8 w 28"/>
              <a:gd name="T25" fmla="*/ 63 h 75"/>
              <a:gd name="T26" fmla="*/ 8 w 28"/>
              <a:gd name="T27" fmla="*/ 12 h 75"/>
              <a:gd name="T28" fmla="*/ 12 w 28"/>
              <a:gd name="T29" fmla="*/ 8 h 75"/>
              <a:gd name="T30" fmla="*/ 16 w 28"/>
              <a:gd name="T31" fmla="*/ 8 h 75"/>
              <a:gd name="T32" fmla="*/ 20 w 28"/>
              <a:gd name="T33" fmla="*/ 12 h 75"/>
              <a:gd name="T34" fmla="*/ 20 w 28"/>
              <a:gd name="T35" fmla="*/ 63 h 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8" h="75">
                <a:moveTo>
                  <a:pt x="16" y="0"/>
                </a:moveTo>
                <a:cubicBezTo>
                  <a:pt x="12" y="0"/>
                  <a:pt x="12" y="0"/>
                  <a:pt x="12" y="0"/>
                </a:cubicBezTo>
                <a:cubicBezTo>
                  <a:pt x="6" y="0"/>
                  <a:pt x="0" y="5"/>
                  <a:pt x="0" y="12"/>
                </a:cubicBezTo>
                <a:cubicBezTo>
                  <a:pt x="0" y="63"/>
                  <a:pt x="0" y="63"/>
                  <a:pt x="0" y="63"/>
                </a:cubicBezTo>
                <a:cubicBezTo>
                  <a:pt x="0" y="70"/>
                  <a:pt x="6" y="75"/>
                  <a:pt x="12" y="75"/>
                </a:cubicBezTo>
                <a:cubicBezTo>
                  <a:pt x="16" y="75"/>
                  <a:pt x="16" y="75"/>
                  <a:pt x="16" y="75"/>
                </a:cubicBezTo>
                <a:cubicBezTo>
                  <a:pt x="22" y="75"/>
                  <a:pt x="28" y="70"/>
                  <a:pt x="28" y="63"/>
                </a:cubicBezTo>
                <a:cubicBezTo>
                  <a:pt x="28" y="12"/>
                  <a:pt x="28" y="12"/>
                  <a:pt x="28" y="12"/>
                </a:cubicBezTo>
                <a:cubicBezTo>
                  <a:pt x="28" y="5"/>
                  <a:pt x="22" y="0"/>
                  <a:pt x="16" y="0"/>
                </a:cubicBezTo>
                <a:close/>
                <a:moveTo>
                  <a:pt x="20" y="63"/>
                </a:moveTo>
                <a:cubicBezTo>
                  <a:pt x="20" y="66"/>
                  <a:pt x="18" y="67"/>
                  <a:pt x="16" y="67"/>
                </a:cubicBezTo>
                <a:cubicBezTo>
                  <a:pt x="12" y="67"/>
                  <a:pt x="12" y="67"/>
                  <a:pt x="12" y="67"/>
                </a:cubicBezTo>
                <a:cubicBezTo>
                  <a:pt x="10" y="67"/>
                  <a:pt x="8" y="66"/>
                  <a:pt x="8" y="63"/>
                </a:cubicBezTo>
                <a:cubicBezTo>
                  <a:pt x="8" y="12"/>
                  <a:pt x="8" y="12"/>
                  <a:pt x="8" y="12"/>
                </a:cubicBezTo>
                <a:cubicBezTo>
                  <a:pt x="8" y="10"/>
                  <a:pt x="10" y="8"/>
                  <a:pt x="12" y="8"/>
                </a:cubicBezTo>
                <a:cubicBezTo>
                  <a:pt x="16" y="8"/>
                  <a:pt x="16" y="8"/>
                  <a:pt x="16" y="8"/>
                </a:cubicBezTo>
                <a:cubicBezTo>
                  <a:pt x="18" y="8"/>
                  <a:pt x="20" y="10"/>
                  <a:pt x="20" y="12"/>
                </a:cubicBezTo>
                <a:lnTo>
                  <a:pt x="20" y="63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25" name="Freeform 120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 noEditPoints="1"/>
          </xdr:cNvSpPr>
        </xdr:nvSpPr>
        <xdr:spPr bwMode="auto">
          <a:xfrm>
            <a:off x="10880725" y="787401"/>
            <a:ext cx="31750" cy="117475"/>
          </a:xfrm>
          <a:custGeom>
            <a:avLst/>
            <a:gdLst>
              <a:gd name="T0" fmla="*/ 15 w 27"/>
              <a:gd name="T1" fmla="*/ 0 h 103"/>
              <a:gd name="T2" fmla="*/ 12 w 27"/>
              <a:gd name="T3" fmla="*/ 0 h 103"/>
              <a:gd name="T4" fmla="*/ 0 w 27"/>
              <a:gd name="T5" fmla="*/ 12 h 103"/>
              <a:gd name="T6" fmla="*/ 0 w 27"/>
              <a:gd name="T7" fmla="*/ 91 h 103"/>
              <a:gd name="T8" fmla="*/ 12 w 27"/>
              <a:gd name="T9" fmla="*/ 103 h 103"/>
              <a:gd name="T10" fmla="*/ 15 w 27"/>
              <a:gd name="T11" fmla="*/ 103 h 103"/>
              <a:gd name="T12" fmla="*/ 27 w 27"/>
              <a:gd name="T13" fmla="*/ 91 h 103"/>
              <a:gd name="T14" fmla="*/ 27 w 27"/>
              <a:gd name="T15" fmla="*/ 12 h 103"/>
              <a:gd name="T16" fmla="*/ 15 w 27"/>
              <a:gd name="T17" fmla="*/ 0 h 103"/>
              <a:gd name="T18" fmla="*/ 19 w 27"/>
              <a:gd name="T19" fmla="*/ 91 h 103"/>
              <a:gd name="T20" fmla="*/ 15 w 27"/>
              <a:gd name="T21" fmla="*/ 95 h 103"/>
              <a:gd name="T22" fmla="*/ 12 w 27"/>
              <a:gd name="T23" fmla="*/ 95 h 103"/>
              <a:gd name="T24" fmla="*/ 8 w 27"/>
              <a:gd name="T25" fmla="*/ 91 h 103"/>
              <a:gd name="T26" fmla="*/ 8 w 27"/>
              <a:gd name="T27" fmla="*/ 12 h 103"/>
              <a:gd name="T28" fmla="*/ 12 w 27"/>
              <a:gd name="T29" fmla="*/ 8 h 103"/>
              <a:gd name="T30" fmla="*/ 15 w 27"/>
              <a:gd name="T31" fmla="*/ 8 h 103"/>
              <a:gd name="T32" fmla="*/ 19 w 27"/>
              <a:gd name="T33" fmla="*/ 12 h 103"/>
              <a:gd name="T34" fmla="*/ 19 w 27"/>
              <a:gd name="T35" fmla="*/ 91 h 10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7" h="103">
                <a:moveTo>
                  <a:pt x="15" y="0"/>
                </a:moveTo>
                <a:cubicBezTo>
                  <a:pt x="12" y="0"/>
                  <a:pt x="12" y="0"/>
                  <a:pt x="12" y="0"/>
                </a:cubicBezTo>
                <a:cubicBezTo>
                  <a:pt x="5" y="0"/>
                  <a:pt x="0" y="5"/>
                  <a:pt x="0" y="12"/>
                </a:cubicBezTo>
                <a:cubicBezTo>
                  <a:pt x="0" y="91"/>
                  <a:pt x="0" y="91"/>
                  <a:pt x="0" y="91"/>
                </a:cubicBezTo>
                <a:cubicBezTo>
                  <a:pt x="0" y="98"/>
                  <a:pt x="5" y="103"/>
                  <a:pt x="12" y="103"/>
                </a:cubicBezTo>
                <a:cubicBezTo>
                  <a:pt x="15" y="103"/>
                  <a:pt x="15" y="103"/>
                  <a:pt x="15" y="103"/>
                </a:cubicBezTo>
                <a:cubicBezTo>
                  <a:pt x="22" y="103"/>
                  <a:pt x="27" y="98"/>
                  <a:pt x="27" y="91"/>
                </a:cubicBezTo>
                <a:cubicBezTo>
                  <a:pt x="27" y="12"/>
                  <a:pt x="27" y="12"/>
                  <a:pt x="27" y="12"/>
                </a:cubicBezTo>
                <a:cubicBezTo>
                  <a:pt x="27" y="5"/>
                  <a:pt x="22" y="0"/>
                  <a:pt x="15" y="0"/>
                </a:cubicBezTo>
                <a:close/>
                <a:moveTo>
                  <a:pt x="19" y="91"/>
                </a:moveTo>
                <a:cubicBezTo>
                  <a:pt x="19" y="94"/>
                  <a:pt x="17" y="95"/>
                  <a:pt x="15" y="95"/>
                </a:cubicBezTo>
                <a:cubicBezTo>
                  <a:pt x="12" y="95"/>
                  <a:pt x="12" y="95"/>
                  <a:pt x="12" y="95"/>
                </a:cubicBezTo>
                <a:cubicBezTo>
                  <a:pt x="10" y="95"/>
                  <a:pt x="8" y="94"/>
                  <a:pt x="8" y="91"/>
                </a:cubicBezTo>
                <a:cubicBezTo>
                  <a:pt x="8" y="12"/>
                  <a:pt x="8" y="12"/>
                  <a:pt x="8" y="12"/>
                </a:cubicBezTo>
                <a:cubicBezTo>
                  <a:pt x="8" y="10"/>
                  <a:pt x="10" y="8"/>
                  <a:pt x="12" y="8"/>
                </a:cubicBezTo>
                <a:cubicBezTo>
                  <a:pt x="15" y="8"/>
                  <a:pt x="15" y="8"/>
                  <a:pt x="15" y="8"/>
                </a:cubicBezTo>
                <a:cubicBezTo>
                  <a:pt x="17" y="8"/>
                  <a:pt x="19" y="10"/>
                  <a:pt x="19" y="12"/>
                </a:cubicBezTo>
                <a:lnTo>
                  <a:pt x="19" y="91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26" name="Freeform 121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 noEditPoints="1"/>
          </xdr:cNvSpPr>
        </xdr:nvSpPr>
        <xdr:spPr bwMode="auto">
          <a:xfrm>
            <a:off x="10923588" y="773114"/>
            <a:ext cx="31750" cy="131763"/>
          </a:xfrm>
          <a:custGeom>
            <a:avLst/>
            <a:gdLst>
              <a:gd name="T0" fmla="*/ 16 w 28"/>
              <a:gd name="T1" fmla="*/ 0 h 116"/>
              <a:gd name="T2" fmla="*/ 12 w 28"/>
              <a:gd name="T3" fmla="*/ 0 h 116"/>
              <a:gd name="T4" fmla="*/ 0 w 28"/>
              <a:gd name="T5" fmla="*/ 12 h 116"/>
              <a:gd name="T6" fmla="*/ 0 w 28"/>
              <a:gd name="T7" fmla="*/ 104 h 116"/>
              <a:gd name="T8" fmla="*/ 12 w 28"/>
              <a:gd name="T9" fmla="*/ 116 h 116"/>
              <a:gd name="T10" fmla="*/ 16 w 28"/>
              <a:gd name="T11" fmla="*/ 116 h 116"/>
              <a:gd name="T12" fmla="*/ 28 w 28"/>
              <a:gd name="T13" fmla="*/ 104 h 116"/>
              <a:gd name="T14" fmla="*/ 28 w 28"/>
              <a:gd name="T15" fmla="*/ 12 h 116"/>
              <a:gd name="T16" fmla="*/ 16 w 28"/>
              <a:gd name="T17" fmla="*/ 0 h 116"/>
              <a:gd name="T18" fmla="*/ 20 w 28"/>
              <a:gd name="T19" fmla="*/ 104 h 116"/>
              <a:gd name="T20" fmla="*/ 16 w 28"/>
              <a:gd name="T21" fmla="*/ 108 h 116"/>
              <a:gd name="T22" fmla="*/ 12 w 28"/>
              <a:gd name="T23" fmla="*/ 108 h 116"/>
              <a:gd name="T24" fmla="*/ 8 w 28"/>
              <a:gd name="T25" fmla="*/ 104 h 116"/>
              <a:gd name="T26" fmla="*/ 8 w 28"/>
              <a:gd name="T27" fmla="*/ 12 h 116"/>
              <a:gd name="T28" fmla="*/ 12 w 28"/>
              <a:gd name="T29" fmla="*/ 8 h 116"/>
              <a:gd name="T30" fmla="*/ 16 w 28"/>
              <a:gd name="T31" fmla="*/ 8 h 116"/>
              <a:gd name="T32" fmla="*/ 20 w 28"/>
              <a:gd name="T33" fmla="*/ 12 h 116"/>
              <a:gd name="T34" fmla="*/ 20 w 28"/>
              <a:gd name="T35" fmla="*/ 104 h 1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8" h="116">
                <a:moveTo>
                  <a:pt x="16" y="0"/>
                </a:moveTo>
                <a:cubicBezTo>
                  <a:pt x="12" y="0"/>
                  <a:pt x="12" y="0"/>
                  <a:pt x="12" y="0"/>
                </a:cubicBezTo>
                <a:cubicBezTo>
                  <a:pt x="6" y="0"/>
                  <a:pt x="0" y="6"/>
                  <a:pt x="0" y="12"/>
                </a:cubicBezTo>
                <a:cubicBezTo>
                  <a:pt x="0" y="104"/>
                  <a:pt x="0" y="104"/>
                  <a:pt x="0" y="104"/>
                </a:cubicBezTo>
                <a:cubicBezTo>
                  <a:pt x="0" y="111"/>
                  <a:pt x="6" y="116"/>
                  <a:pt x="12" y="116"/>
                </a:cubicBezTo>
                <a:cubicBezTo>
                  <a:pt x="16" y="116"/>
                  <a:pt x="16" y="116"/>
                  <a:pt x="16" y="116"/>
                </a:cubicBezTo>
                <a:cubicBezTo>
                  <a:pt x="22" y="116"/>
                  <a:pt x="28" y="111"/>
                  <a:pt x="28" y="104"/>
                </a:cubicBezTo>
                <a:cubicBezTo>
                  <a:pt x="28" y="12"/>
                  <a:pt x="28" y="12"/>
                  <a:pt x="28" y="12"/>
                </a:cubicBezTo>
                <a:cubicBezTo>
                  <a:pt x="28" y="6"/>
                  <a:pt x="22" y="0"/>
                  <a:pt x="16" y="0"/>
                </a:cubicBezTo>
                <a:close/>
                <a:moveTo>
                  <a:pt x="20" y="104"/>
                </a:moveTo>
                <a:cubicBezTo>
                  <a:pt x="20" y="107"/>
                  <a:pt x="18" y="108"/>
                  <a:pt x="16" y="108"/>
                </a:cubicBezTo>
                <a:cubicBezTo>
                  <a:pt x="12" y="108"/>
                  <a:pt x="12" y="108"/>
                  <a:pt x="12" y="108"/>
                </a:cubicBezTo>
                <a:cubicBezTo>
                  <a:pt x="10" y="108"/>
                  <a:pt x="8" y="107"/>
                  <a:pt x="8" y="104"/>
                </a:cubicBezTo>
                <a:cubicBezTo>
                  <a:pt x="8" y="12"/>
                  <a:pt x="8" y="12"/>
                  <a:pt x="8" y="12"/>
                </a:cubicBezTo>
                <a:cubicBezTo>
                  <a:pt x="8" y="10"/>
                  <a:pt x="10" y="8"/>
                  <a:pt x="12" y="8"/>
                </a:cubicBezTo>
                <a:cubicBezTo>
                  <a:pt x="16" y="8"/>
                  <a:pt x="16" y="8"/>
                  <a:pt x="16" y="8"/>
                </a:cubicBezTo>
                <a:cubicBezTo>
                  <a:pt x="18" y="8"/>
                  <a:pt x="20" y="10"/>
                  <a:pt x="20" y="12"/>
                </a:cubicBezTo>
                <a:lnTo>
                  <a:pt x="20" y="104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27" name="Freeform 122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 noEditPoints="1"/>
          </xdr:cNvSpPr>
        </xdr:nvSpPr>
        <xdr:spPr bwMode="auto">
          <a:xfrm>
            <a:off x="10963275" y="741364"/>
            <a:ext cx="31750" cy="163513"/>
          </a:xfrm>
          <a:custGeom>
            <a:avLst/>
            <a:gdLst>
              <a:gd name="T0" fmla="*/ 16 w 28"/>
              <a:gd name="T1" fmla="*/ 0 h 144"/>
              <a:gd name="T2" fmla="*/ 12 w 28"/>
              <a:gd name="T3" fmla="*/ 0 h 144"/>
              <a:gd name="T4" fmla="*/ 0 w 28"/>
              <a:gd name="T5" fmla="*/ 12 h 144"/>
              <a:gd name="T6" fmla="*/ 0 w 28"/>
              <a:gd name="T7" fmla="*/ 132 h 144"/>
              <a:gd name="T8" fmla="*/ 12 w 28"/>
              <a:gd name="T9" fmla="*/ 144 h 144"/>
              <a:gd name="T10" fmla="*/ 16 w 28"/>
              <a:gd name="T11" fmla="*/ 144 h 144"/>
              <a:gd name="T12" fmla="*/ 28 w 28"/>
              <a:gd name="T13" fmla="*/ 132 h 144"/>
              <a:gd name="T14" fmla="*/ 28 w 28"/>
              <a:gd name="T15" fmla="*/ 12 h 144"/>
              <a:gd name="T16" fmla="*/ 16 w 28"/>
              <a:gd name="T17" fmla="*/ 0 h 144"/>
              <a:gd name="T18" fmla="*/ 20 w 28"/>
              <a:gd name="T19" fmla="*/ 132 h 144"/>
              <a:gd name="T20" fmla="*/ 16 w 28"/>
              <a:gd name="T21" fmla="*/ 136 h 144"/>
              <a:gd name="T22" fmla="*/ 12 w 28"/>
              <a:gd name="T23" fmla="*/ 136 h 144"/>
              <a:gd name="T24" fmla="*/ 8 w 28"/>
              <a:gd name="T25" fmla="*/ 132 h 144"/>
              <a:gd name="T26" fmla="*/ 8 w 28"/>
              <a:gd name="T27" fmla="*/ 12 h 144"/>
              <a:gd name="T28" fmla="*/ 12 w 28"/>
              <a:gd name="T29" fmla="*/ 8 h 144"/>
              <a:gd name="T30" fmla="*/ 16 w 28"/>
              <a:gd name="T31" fmla="*/ 8 h 144"/>
              <a:gd name="T32" fmla="*/ 20 w 28"/>
              <a:gd name="T33" fmla="*/ 12 h 144"/>
              <a:gd name="T34" fmla="*/ 20 w 28"/>
              <a:gd name="T35" fmla="*/ 132 h 1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8" h="144">
                <a:moveTo>
                  <a:pt x="16" y="0"/>
                </a:moveTo>
                <a:cubicBezTo>
                  <a:pt x="12" y="0"/>
                  <a:pt x="12" y="0"/>
                  <a:pt x="12" y="0"/>
                </a:cubicBezTo>
                <a:cubicBezTo>
                  <a:pt x="6" y="0"/>
                  <a:pt x="0" y="5"/>
                  <a:pt x="0" y="12"/>
                </a:cubicBezTo>
                <a:cubicBezTo>
                  <a:pt x="0" y="132"/>
                  <a:pt x="0" y="132"/>
                  <a:pt x="0" y="132"/>
                </a:cubicBezTo>
                <a:cubicBezTo>
                  <a:pt x="0" y="139"/>
                  <a:pt x="6" y="144"/>
                  <a:pt x="12" y="144"/>
                </a:cubicBezTo>
                <a:cubicBezTo>
                  <a:pt x="16" y="144"/>
                  <a:pt x="16" y="144"/>
                  <a:pt x="16" y="144"/>
                </a:cubicBezTo>
                <a:cubicBezTo>
                  <a:pt x="22" y="144"/>
                  <a:pt x="28" y="139"/>
                  <a:pt x="28" y="132"/>
                </a:cubicBezTo>
                <a:cubicBezTo>
                  <a:pt x="28" y="12"/>
                  <a:pt x="28" y="12"/>
                  <a:pt x="28" y="12"/>
                </a:cubicBezTo>
                <a:cubicBezTo>
                  <a:pt x="28" y="5"/>
                  <a:pt x="22" y="0"/>
                  <a:pt x="16" y="0"/>
                </a:cubicBezTo>
                <a:close/>
                <a:moveTo>
                  <a:pt x="20" y="132"/>
                </a:moveTo>
                <a:cubicBezTo>
                  <a:pt x="20" y="135"/>
                  <a:pt x="18" y="136"/>
                  <a:pt x="16" y="136"/>
                </a:cubicBezTo>
                <a:cubicBezTo>
                  <a:pt x="12" y="136"/>
                  <a:pt x="12" y="136"/>
                  <a:pt x="12" y="136"/>
                </a:cubicBezTo>
                <a:cubicBezTo>
                  <a:pt x="10" y="136"/>
                  <a:pt x="8" y="135"/>
                  <a:pt x="8" y="132"/>
                </a:cubicBezTo>
                <a:cubicBezTo>
                  <a:pt x="8" y="12"/>
                  <a:pt x="8" y="12"/>
                  <a:pt x="8" y="12"/>
                </a:cubicBezTo>
                <a:cubicBezTo>
                  <a:pt x="8" y="10"/>
                  <a:pt x="10" y="8"/>
                  <a:pt x="12" y="8"/>
                </a:cubicBezTo>
                <a:cubicBezTo>
                  <a:pt x="16" y="8"/>
                  <a:pt x="16" y="8"/>
                  <a:pt x="16" y="8"/>
                </a:cubicBezTo>
                <a:cubicBezTo>
                  <a:pt x="18" y="8"/>
                  <a:pt x="20" y="10"/>
                  <a:pt x="20" y="12"/>
                </a:cubicBezTo>
                <a:lnTo>
                  <a:pt x="20" y="13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</xdr:grpSp>
    <xdr:clientData/>
  </xdr:twoCellAnchor>
  <xdr:oneCellAnchor>
    <xdr:from>
      <xdr:col>15</xdr:col>
      <xdr:colOff>54427</xdr:colOff>
      <xdr:row>25</xdr:row>
      <xdr:rowOff>201384</xdr:rowOff>
    </xdr:from>
    <xdr:ext cx="4332853" cy="438710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6399327" y="7745184"/>
          <a:ext cx="4332853" cy="4387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b="1">
              <a:solidFill>
                <a:schemeClr val="tx2">
                  <a:lumMod val="50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Nível de Serviço de Atendimento</a:t>
          </a:r>
        </a:p>
      </xdr:txBody>
    </xdr:sp>
    <xdr:clientData/>
  </xdr:oneCellAnchor>
  <xdr:oneCellAnchor>
    <xdr:from>
      <xdr:col>7</xdr:col>
      <xdr:colOff>370104</xdr:colOff>
      <xdr:row>25</xdr:row>
      <xdr:rowOff>201386</xdr:rowOff>
    </xdr:from>
    <xdr:ext cx="2964145" cy="438710"/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8047254" y="7745186"/>
          <a:ext cx="2964145" cy="4387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b="0">
              <a:solidFill>
                <a:schemeClr val="tx2">
                  <a:lumMod val="50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% Ruptura de Estoque</a:t>
          </a:r>
        </a:p>
      </xdr:txBody>
    </xdr:sp>
    <xdr:clientData/>
  </xdr:oneCellAnchor>
  <xdr:twoCellAnchor>
    <xdr:from>
      <xdr:col>8</xdr:col>
      <xdr:colOff>1162050</xdr:colOff>
      <xdr:row>2</xdr:row>
      <xdr:rowOff>114299</xdr:rowOff>
    </xdr:from>
    <xdr:to>
      <xdr:col>9</xdr:col>
      <xdr:colOff>304800</xdr:colOff>
      <xdr:row>5</xdr:row>
      <xdr:rowOff>139950</xdr:rowOff>
    </xdr:to>
    <xdr:sp macro="" textlink="">
      <xdr:nvSpPr>
        <xdr:cNvPr id="36" name="Shape 553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flipH="1">
          <a:off x="9677400" y="1485899"/>
          <a:ext cx="361950" cy="86385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21133" h="21499" extrusionOk="0">
              <a:moveTo>
                <a:pt x="4896" y="10"/>
              </a:moveTo>
              <a:cubicBezTo>
                <a:pt x="5889" y="-36"/>
                <a:pt x="6985" y="76"/>
                <a:pt x="7651" y="267"/>
              </a:cubicBezTo>
              <a:cubicBezTo>
                <a:pt x="8176" y="420"/>
                <a:pt x="8326" y="626"/>
                <a:pt x="8424" y="838"/>
              </a:cubicBezTo>
              <a:cubicBezTo>
                <a:pt x="8806" y="1675"/>
                <a:pt x="8140" y="1793"/>
                <a:pt x="7704" y="2338"/>
              </a:cubicBezTo>
              <a:cubicBezTo>
                <a:pt x="7642" y="2413"/>
                <a:pt x="7751" y="2685"/>
                <a:pt x="7807" y="2707"/>
              </a:cubicBezTo>
              <a:cubicBezTo>
                <a:pt x="7948" y="2768"/>
                <a:pt x="8069" y="2789"/>
                <a:pt x="8268" y="2826"/>
              </a:cubicBezTo>
              <a:cubicBezTo>
                <a:pt x="8699" y="2906"/>
                <a:pt x="9397" y="3036"/>
                <a:pt x="9480" y="3055"/>
              </a:cubicBezTo>
              <a:cubicBezTo>
                <a:pt x="10874" y="3357"/>
                <a:pt x="10667" y="3469"/>
                <a:pt x="11333" y="3760"/>
              </a:cubicBezTo>
              <a:cubicBezTo>
                <a:pt x="11558" y="3857"/>
                <a:pt x="12243" y="4420"/>
                <a:pt x="12312" y="4510"/>
              </a:cubicBezTo>
              <a:cubicBezTo>
                <a:pt x="12587" y="4869"/>
                <a:pt x="12989" y="6012"/>
                <a:pt x="13240" y="6480"/>
              </a:cubicBezTo>
              <a:cubicBezTo>
                <a:pt x="13358" y="6702"/>
                <a:pt x="13240" y="6590"/>
                <a:pt x="13472" y="6794"/>
              </a:cubicBezTo>
              <a:cubicBezTo>
                <a:pt x="13814" y="7092"/>
                <a:pt x="13808" y="7061"/>
                <a:pt x="13988" y="7375"/>
              </a:cubicBezTo>
              <a:cubicBezTo>
                <a:pt x="13996" y="7394"/>
                <a:pt x="14103" y="7492"/>
                <a:pt x="14134" y="7528"/>
              </a:cubicBezTo>
              <a:cubicBezTo>
                <a:pt x="14369" y="7802"/>
                <a:pt x="14259" y="7553"/>
                <a:pt x="14398" y="7979"/>
              </a:cubicBezTo>
              <a:cubicBezTo>
                <a:pt x="14400" y="7981"/>
                <a:pt x="14686" y="8080"/>
                <a:pt x="14760" y="8225"/>
              </a:cubicBezTo>
              <a:cubicBezTo>
                <a:pt x="14813" y="8331"/>
                <a:pt x="15482" y="8449"/>
                <a:pt x="15171" y="8516"/>
              </a:cubicBezTo>
              <a:cubicBezTo>
                <a:pt x="14418" y="8680"/>
                <a:pt x="15455" y="8852"/>
                <a:pt x="15893" y="9233"/>
              </a:cubicBezTo>
              <a:cubicBezTo>
                <a:pt x="16150" y="9457"/>
                <a:pt x="16758" y="10406"/>
                <a:pt x="16947" y="10766"/>
              </a:cubicBezTo>
              <a:cubicBezTo>
                <a:pt x="16978" y="10824"/>
                <a:pt x="16947" y="10887"/>
                <a:pt x="16975" y="10945"/>
              </a:cubicBezTo>
              <a:cubicBezTo>
                <a:pt x="17134" y="11302"/>
                <a:pt x="17134" y="11677"/>
                <a:pt x="17387" y="12008"/>
              </a:cubicBezTo>
              <a:cubicBezTo>
                <a:pt x="17411" y="12043"/>
                <a:pt x="17713" y="12323"/>
                <a:pt x="17798" y="12434"/>
              </a:cubicBezTo>
              <a:cubicBezTo>
                <a:pt x="18463" y="13304"/>
                <a:pt x="18243" y="12867"/>
                <a:pt x="18468" y="13553"/>
              </a:cubicBezTo>
              <a:cubicBezTo>
                <a:pt x="18565" y="13851"/>
                <a:pt x="17559" y="13888"/>
                <a:pt x="17541" y="13945"/>
              </a:cubicBezTo>
              <a:cubicBezTo>
                <a:pt x="17472" y="14150"/>
                <a:pt x="17823" y="14341"/>
                <a:pt x="17823" y="14382"/>
              </a:cubicBezTo>
              <a:cubicBezTo>
                <a:pt x="17823" y="14623"/>
                <a:pt x="17878" y="14722"/>
                <a:pt x="18004" y="14941"/>
              </a:cubicBezTo>
              <a:cubicBezTo>
                <a:pt x="18140" y="15181"/>
                <a:pt x="18840" y="15430"/>
                <a:pt x="19293" y="15758"/>
              </a:cubicBezTo>
              <a:cubicBezTo>
                <a:pt x="19403" y="15839"/>
                <a:pt x="19638" y="15965"/>
                <a:pt x="19678" y="16049"/>
              </a:cubicBezTo>
              <a:cubicBezTo>
                <a:pt x="19924" y="16564"/>
                <a:pt x="19917" y="16954"/>
                <a:pt x="20038" y="17437"/>
              </a:cubicBezTo>
              <a:cubicBezTo>
                <a:pt x="20116" y="17745"/>
                <a:pt x="20009" y="17618"/>
                <a:pt x="20168" y="17963"/>
              </a:cubicBezTo>
              <a:cubicBezTo>
                <a:pt x="20307" y="18270"/>
                <a:pt x="20165" y="18812"/>
                <a:pt x="20477" y="18982"/>
              </a:cubicBezTo>
              <a:cubicBezTo>
                <a:pt x="20812" y="19164"/>
                <a:pt x="20640" y="19162"/>
                <a:pt x="20837" y="19418"/>
              </a:cubicBezTo>
              <a:cubicBezTo>
                <a:pt x="21076" y="19729"/>
                <a:pt x="21348" y="19702"/>
                <a:pt x="20863" y="20123"/>
              </a:cubicBezTo>
              <a:cubicBezTo>
                <a:pt x="20651" y="20308"/>
                <a:pt x="20389" y="21078"/>
                <a:pt x="20116" y="21220"/>
              </a:cubicBezTo>
              <a:cubicBezTo>
                <a:pt x="19569" y="21504"/>
                <a:pt x="18413" y="21564"/>
                <a:pt x="17541" y="21433"/>
              </a:cubicBezTo>
              <a:cubicBezTo>
                <a:pt x="17451" y="21419"/>
                <a:pt x="17371" y="21392"/>
                <a:pt x="17282" y="21377"/>
              </a:cubicBezTo>
              <a:cubicBezTo>
                <a:pt x="16380" y="21216"/>
                <a:pt x="17367" y="21057"/>
                <a:pt x="17670" y="20794"/>
              </a:cubicBezTo>
              <a:cubicBezTo>
                <a:pt x="18459" y="20109"/>
                <a:pt x="17930" y="19953"/>
                <a:pt x="18364" y="19575"/>
              </a:cubicBezTo>
              <a:cubicBezTo>
                <a:pt x="18386" y="19556"/>
                <a:pt x="18451" y="18878"/>
                <a:pt x="18261" y="18713"/>
              </a:cubicBezTo>
              <a:cubicBezTo>
                <a:pt x="17879" y="18381"/>
                <a:pt x="17221" y="17439"/>
                <a:pt x="16794" y="17068"/>
              </a:cubicBezTo>
              <a:cubicBezTo>
                <a:pt x="16382" y="16709"/>
                <a:pt x="16146" y="16505"/>
                <a:pt x="16021" y="16015"/>
              </a:cubicBezTo>
              <a:cubicBezTo>
                <a:pt x="16019" y="16012"/>
                <a:pt x="15880" y="15898"/>
                <a:pt x="15855" y="15883"/>
              </a:cubicBezTo>
              <a:cubicBezTo>
                <a:pt x="15723" y="15807"/>
                <a:pt x="15581" y="15836"/>
                <a:pt x="15146" y="15456"/>
              </a:cubicBezTo>
              <a:cubicBezTo>
                <a:pt x="14805" y="15161"/>
                <a:pt x="14974" y="15338"/>
                <a:pt x="14552" y="15064"/>
              </a:cubicBezTo>
              <a:cubicBezTo>
                <a:pt x="14217" y="14845"/>
                <a:pt x="13913" y="14489"/>
                <a:pt x="13756" y="14213"/>
              </a:cubicBezTo>
              <a:cubicBezTo>
                <a:pt x="13609" y="13962"/>
                <a:pt x="13318" y="14265"/>
                <a:pt x="13394" y="14135"/>
              </a:cubicBezTo>
              <a:cubicBezTo>
                <a:pt x="13475" y="13994"/>
                <a:pt x="13258" y="14107"/>
                <a:pt x="13162" y="13900"/>
              </a:cubicBezTo>
              <a:cubicBezTo>
                <a:pt x="13090" y="13743"/>
                <a:pt x="12712" y="13605"/>
                <a:pt x="12415" y="13520"/>
              </a:cubicBezTo>
              <a:cubicBezTo>
                <a:pt x="11542" y="13266"/>
                <a:pt x="11324" y="13104"/>
                <a:pt x="10794" y="12758"/>
              </a:cubicBezTo>
              <a:cubicBezTo>
                <a:pt x="9904" y="12179"/>
                <a:pt x="10105" y="12311"/>
                <a:pt x="9375" y="12680"/>
              </a:cubicBezTo>
              <a:cubicBezTo>
                <a:pt x="9124" y="12808"/>
                <a:pt x="8786" y="12948"/>
                <a:pt x="8655" y="13060"/>
              </a:cubicBezTo>
              <a:cubicBezTo>
                <a:pt x="8341" y="13334"/>
                <a:pt x="7687" y="13155"/>
                <a:pt x="7239" y="13318"/>
              </a:cubicBezTo>
              <a:cubicBezTo>
                <a:pt x="6799" y="13477"/>
                <a:pt x="6419" y="13740"/>
                <a:pt x="6261" y="13878"/>
              </a:cubicBezTo>
              <a:cubicBezTo>
                <a:pt x="5934" y="14161"/>
                <a:pt x="6182" y="14101"/>
                <a:pt x="7136" y="14515"/>
              </a:cubicBezTo>
              <a:cubicBezTo>
                <a:pt x="8375" y="15054"/>
                <a:pt x="7888" y="15315"/>
                <a:pt x="8399" y="15758"/>
              </a:cubicBezTo>
              <a:cubicBezTo>
                <a:pt x="9055" y="16329"/>
                <a:pt x="9032" y="16281"/>
                <a:pt x="10020" y="16855"/>
              </a:cubicBezTo>
              <a:cubicBezTo>
                <a:pt x="10299" y="17017"/>
                <a:pt x="10792" y="16977"/>
                <a:pt x="11051" y="17146"/>
              </a:cubicBezTo>
              <a:cubicBezTo>
                <a:pt x="11369" y="17354"/>
                <a:pt x="11798" y="17459"/>
                <a:pt x="11798" y="17930"/>
              </a:cubicBezTo>
              <a:cubicBezTo>
                <a:pt x="11798" y="17939"/>
                <a:pt x="11768" y="18136"/>
                <a:pt x="11746" y="18165"/>
              </a:cubicBezTo>
              <a:cubicBezTo>
                <a:pt x="11516" y="18479"/>
                <a:pt x="11435" y="18014"/>
                <a:pt x="10973" y="18355"/>
              </a:cubicBezTo>
              <a:cubicBezTo>
                <a:pt x="10914" y="18399"/>
                <a:pt x="11051" y="18426"/>
                <a:pt x="11025" y="18445"/>
              </a:cubicBezTo>
              <a:cubicBezTo>
                <a:pt x="10579" y="18739"/>
                <a:pt x="10940" y="18085"/>
                <a:pt x="9840" y="18802"/>
              </a:cubicBezTo>
              <a:cubicBezTo>
                <a:pt x="9699" y="18893"/>
                <a:pt x="9586" y="19233"/>
                <a:pt x="9453" y="19284"/>
              </a:cubicBezTo>
              <a:cubicBezTo>
                <a:pt x="9117" y="19413"/>
                <a:pt x="9426" y="19756"/>
                <a:pt x="8887" y="19698"/>
              </a:cubicBezTo>
              <a:cubicBezTo>
                <a:pt x="8846" y="19693"/>
                <a:pt x="8277" y="19801"/>
                <a:pt x="8270" y="19821"/>
              </a:cubicBezTo>
              <a:cubicBezTo>
                <a:pt x="8252" y="19861"/>
                <a:pt x="8323" y="19921"/>
                <a:pt x="8321" y="19921"/>
              </a:cubicBezTo>
              <a:cubicBezTo>
                <a:pt x="8046" y="20046"/>
                <a:pt x="8011" y="19895"/>
                <a:pt x="7909" y="19910"/>
              </a:cubicBezTo>
              <a:cubicBezTo>
                <a:pt x="6616" y="20096"/>
                <a:pt x="6510" y="19831"/>
                <a:pt x="6727" y="19409"/>
              </a:cubicBezTo>
              <a:cubicBezTo>
                <a:pt x="6744" y="19372"/>
                <a:pt x="6795" y="19299"/>
                <a:pt x="6826" y="19272"/>
              </a:cubicBezTo>
              <a:cubicBezTo>
                <a:pt x="7090" y="19044"/>
                <a:pt x="7553" y="18305"/>
                <a:pt x="7858" y="17974"/>
              </a:cubicBezTo>
              <a:cubicBezTo>
                <a:pt x="7928" y="17898"/>
                <a:pt x="7820" y="17810"/>
                <a:pt x="7986" y="17761"/>
              </a:cubicBezTo>
              <a:cubicBezTo>
                <a:pt x="8201" y="17699"/>
                <a:pt x="8299" y="17710"/>
                <a:pt x="8192" y="17549"/>
              </a:cubicBezTo>
              <a:cubicBezTo>
                <a:pt x="7990" y="17245"/>
                <a:pt x="7778" y="17260"/>
                <a:pt x="7188" y="17068"/>
              </a:cubicBezTo>
              <a:cubicBezTo>
                <a:pt x="6692" y="16906"/>
                <a:pt x="4787" y="16085"/>
                <a:pt x="4458" y="15870"/>
              </a:cubicBezTo>
              <a:cubicBezTo>
                <a:pt x="4290" y="15760"/>
                <a:pt x="2898" y="14590"/>
                <a:pt x="2732" y="14493"/>
              </a:cubicBezTo>
              <a:cubicBezTo>
                <a:pt x="2213" y="14192"/>
                <a:pt x="2285" y="14105"/>
                <a:pt x="2399" y="13721"/>
              </a:cubicBezTo>
              <a:cubicBezTo>
                <a:pt x="2609" y="12998"/>
                <a:pt x="2529" y="13335"/>
                <a:pt x="2888" y="12714"/>
              </a:cubicBezTo>
              <a:cubicBezTo>
                <a:pt x="3023" y="12477"/>
                <a:pt x="3036" y="12453"/>
                <a:pt x="3068" y="12154"/>
              </a:cubicBezTo>
              <a:cubicBezTo>
                <a:pt x="3068" y="12150"/>
                <a:pt x="3207" y="12041"/>
                <a:pt x="3218" y="12026"/>
              </a:cubicBezTo>
              <a:cubicBezTo>
                <a:pt x="3303" y="11921"/>
                <a:pt x="3331" y="11845"/>
                <a:pt x="3814" y="11493"/>
              </a:cubicBezTo>
              <a:cubicBezTo>
                <a:pt x="4179" y="11229"/>
                <a:pt x="4525" y="11019"/>
                <a:pt x="4896" y="10778"/>
              </a:cubicBezTo>
              <a:cubicBezTo>
                <a:pt x="5012" y="10702"/>
                <a:pt x="4939" y="10622"/>
                <a:pt x="5102" y="10598"/>
              </a:cubicBezTo>
              <a:cubicBezTo>
                <a:pt x="5357" y="10562"/>
                <a:pt x="5457" y="10340"/>
                <a:pt x="5746" y="10151"/>
              </a:cubicBezTo>
              <a:cubicBezTo>
                <a:pt x="5999" y="9985"/>
                <a:pt x="5688" y="9804"/>
                <a:pt x="6158" y="9692"/>
              </a:cubicBezTo>
              <a:cubicBezTo>
                <a:pt x="6256" y="9668"/>
                <a:pt x="6186" y="9537"/>
                <a:pt x="6338" y="9379"/>
              </a:cubicBezTo>
              <a:cubicBezTo>
                <a:pt x="6452" y="9262"/>
                <a:pt x="5994" y="9311"/>
                <a:pt x="6209" y="8796"/>
              </a:cubicBezTo>
              <a:cubicBezTo>
                <a:pt x="6332" y="8504"/>
                <a:pt x="5494" y="8109"/>
                <a:pt x="5411" y="7889"/>
              </a:cubicBezTo>
              <a:cubicBezTo>
                <a:pt x="5235" y="7429"/>
                <a:pt x="5620" y="7632"/>
                <a:pt x="4483" y="7386"/>
              </a:cubicBezTo>
              <a:cubicBezTo>
                <a:pt x="4080" y="7298"/>
                <a:pt x="3598" y="7165"/>
                <a:pt x="3084" y="7075"/>
              </a:cubicBezTo>
              <a:cubicBezTo>
                <a:pt x="3010" y="7061"/>
                <a:pt x="2936" y="7050"/>
                <a:pt x="2862" y="7040"/>
              </a:cubicBezTo>
              <a:cubicBezTo>
                <a:pt x="2746" y="7022"/>
                <a:pt x="2585" y="6983"/>
                <a:pt x="2421" y="6970"/>
              </a:cubicBezTo>
              <a:cubicBezTo>
                <a:pt x="2095" y="6946"/>
                <a:pt x="1735" y="6937"/>
                <a:pt x="1161" y="6771"/>
              </a:cubicBezTo>
              <a:cubicBezTo>
                <a:pt x="917" y="6700"/>
                <a:pt x="680" y="6605"/>
                <a:pt x="467" y="6535"/>
              </a:cubicBezTo>
              <a:cubicBezTo>
                <a:pt x="291" y="6478"/>
                <a:pt x="-220" y="6361"/>
                <a:pt x="132" y="6267"/>
              </a:cubicBezTo>
              <a:cubicBezTo>
                <a:pt x="343" y="6210"/>
                <a:pt x="-252" y="6113"/>
                <a:pt x="132" y="5987"/>
              </a:cubicBezTo>
              <a:cubicBezTo>
                <a:pt x="249" y="5948"/>
                <a:pt x="376" y="5994"/>
                <a:pt x="313" y="5898"/>
              </a:cubicBezTo>
              <a:cubicBezTo>
                <a:pt x="244" y="5795"/>
                <a:pt x="133" y="5822"/>
                <a:pt x="210" y="5719"/>
              </a:cubicBezTo>
              <a:cubicBezTo>
                <a:pt x="251" y="5660"/>
                <a:pt x="455" y="5684"/>
                <a:pt x="491" y="5629"/>
              </a:cubicBezTo>
              <a:cubicBezTo>
                <a:pt x="830" y="5112"/>
                <a:pt x="1418" y="5708"/>
                <a:pt x="1650" y="5607"/>
              </a:cubicBezTo>
              <a:cubicBezTo>
                <a:pt x="1724" y="5575"/>
                <a:pt x="1744" y="5311"/>
                <a:pt x="1908" y="5383"/>
              </a:cubicBezTo>
              <a:cubicBezTo>
                <a:pt x="1920" y="5388"/>
                <a:pt x="1942" y="5409"/>
                <a:pt x="1967" y="5435"/>
              </a:cubicBezTo>
              <a:cubicBezTo>
                <a:pt x="2014" y="5485"/>
                <a:pt x="2077" y="5557"/>
                <a:pt x="2115" y="5585"/>
              </a:cubicBezTo>
              <a:cubicBezTo>
                <a:pt x="2375" y="5773"/>
                <a:pt x="2645" y="5842"/>
                <a:pt x="3093" y="6233"/>
              </a:cubicBezTo>
              <a:cubicBezTo>
                <a:pt x="3331" y="6441"/>
                <a:pt x="3344" y="6383"/>
                <a:pt x="3788" y="6480"/>
              </a:cubicBezTo>
              <a:cubicBezTo>
                <a:pt x="3975" y="6520"/>
                <a:pt x="4796" y="6708"/>
                <a:pt x="4508" y="6424"/>
              </a:cubicBezTo>
              <a:cubicBezTo>
                <a:pt x="4362" y="6277"/>
                <a:pt x="4029" y="5564"/>
                <a:pt x="4123" y="5361"/>
              </a:cubicBezTo>
              <a:cubicBezTo>
                <a:pt x="4250" y="5085"/>
                <a:pt x="4186" y="4567"/>
                <a:pt x="4432" y="4353"/>
              </a:cubicBezTo>
              <a:cubicBezTo>
                <a:pt x="4450" y="4336"/>
                <a:pt x="4472" y="4161"/>
                <a:pt x="4690" y="3973"/>
              </a:cubicBezTo>
              <a:cubicBezTo>
                <a:pt x="5004" y="3700"/>
                <a:pt x="4729" y="3539"/>
                <a:pt x="4380" y="3312"/>
              </a:cubicBezTo>
              <a:cubicBezTo>
                <a:pt x="4105" y="3132"/>
                <a:pt x="2267" y="3032"/>
                <a:pt x="2732" y="2664"/>
              </a:cubicBezTo>
              <a:cubicBezTo>
                <a:pt x="2826" y="2589"/>
                <a:pt x="2541" y="2568"/>
                <a:pt x="2656" y="2506"/>
              </a:cubicBezTo>
              <a:cubicBezTo>
                <a:pt x="3043" y="2295"/>
                <a:pt x="2551" y="2218"/>
                <a:pt x="2527" y="2193"/>
              </a:cubicBezTo>
              <a:cubicBezTo>
                <a:pt x="2431" y="2096"/>
                <a:pt x="2692" y="2035"/>
                <a:pt x="2243" y="2002"/>
              </a:cubicBezTo>
              <a:cubicBezTo>
                <a:pt x="1994" y="1985"/>
                <a:pt x="2251" y="1951"/>
                <a:pt x="2423" y="1801"/>
              </a:cubicBezTo>
              <a:cubicBezTo>
                <a:pt x="2682" y="1575"/>
                <a:pt x="2214" y="1614"/>
                <a:pt x="2527" y="1409"/>
              </a:cubicBezTo>
              <a:cubicBezTo>
                <a:pt x="2665" y="1319"/>
                <a:pt x="2408" y="1284"/>
                <a:pt x="2603" y="1029"/>
              </a:cubicBezTo>
              <a:cubicBezTo>
                <a:pt x="2687" y="920"/>
                <a:pt x="3164" y="481"/>
                <a:pt x="3119" y="402"/>
              </a:cubicBezTo>
              <a:cubicBezTo>
                <a:pt x="3039" y="265"/>
                <a:pt x="3864" y="102"/>
                <a:pt x="4072" y="77"/>
              </a:cubicBezTo>
              <a:cubicBezTo>
                <a:pt x="4362" y="44"/>
                <a:pt x="4588" y="26"/>
                <a:pt x="4896" y="10"/>
              </a:cubicBezTo>
              <a:cubicBezTo>
                <a:pt x="4896" y="10"/>
                <a:pt x="4896" y="10"/>
                <a:pt x="4896" y="10"/>
              </a:cubicBezTo>
              <a:close/>
            </a:path>
          </a:pathLst>
        </a:custGeom>
        <a:solidFill>
          <a:srgbClr val="0070C0"/>
        </a:solidFill>
        <a:ln w="12700">
          <a:miter lim="400000"/>
        </a:ln>
      </xdr:spPr>
      <xdr:txBody>
        <a:bodyPr wrap="square" lIns="38100" tIns="38100" rIns="38100" bIns="38100" anchor="ctr"/>
        <a:lstStyle>
          <a:defPPr marL="0" marR="0" indent="0" algn="l" defTabSz="9144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1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</a:defRPr>
          </a:defPPr>
          <a:lvl1pPr marL="0" marR="0" indent="0" algn="l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5800" b="0" i="0" u="none" strike="noStrike" cap="all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Oswald "/>
              <a:ea typeface="Oswald "/>
              <a:cs typeface="Oswald "/>
              <a:sym typeface="Oswald "/>
            </a:defRPr>
          </a:lvl1pPr>
          <a:lvl2pPr marL="0" marR="0" indent="228600" algn="l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5800" b="0" i="0" u="none" strike="noStrike" cap="all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Oswald "/>
              <a:ea typeface="Oswald "/>
              <a:cs typeface="Oswald "/>
              <a:sym typeface="Oswald "/>
            </a:defRPr>
          </a:lvl2pPr>
          <a:lvl3pPr marL="0" marR="0" indent="457200" algn="l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5800" b="0" i="0" u="none" strike="noStrike" cap="all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Oswald "/>
              <a:ea typeface="Oswald "/>
              <a:cs typeface="Oswald "/>
              <a:sym typeface="Oswald "/>
            </a:defRPr>
          </a:lvl3pPr>
          <a:lvl4pPr marL="0" marR="0" indent="685800" algn="l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5800" b="0" i="0" u="none" strike="noStrike" cap="all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Oswald "/>
              <a:ea typeface="Oswald "/>
              <a:cs typeface="Oswald "/>
              <a:sym typeface="Oswald "/>
            </a:defRPr>
          </a:lvl4pPr>
          <a:lvl5pPr marL="0" marR="0" indent="914400" algn="l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5800" b="0" i="0" u="none" strike="noStrike" cap="all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Oswald "/>
              <a:ea typeface="Oswald "/>
              <a:cs typeface="Oswald "/>
              <a:sym typeface="Oswald "/>
            </a:defRPr>
          </a:lvl5pPr>
          <a:lvl6pPr marL="0" marR="0" indent="1143000" algn="l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5800" b="0" i="0" u="none" strike="noStrike" cap="all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Oswald "/>
              <a:ea typeface="Oswald "/>
              <a:cs typeface="Oswald "/>
              <a:sym typeface="Oswald "/>
            </a:defRPr>
          </a:lvl6pPr>
          <a:lvl7pPr marL="0" marR="0" indent="1371600" algn="l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5800" b="0" i="0" u="none" strike="noStrike" cap="all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Oswald "/>
              <a:ea typeface="Oswald "/>
              <a:cs typeface="Oswald "/>
              <a:sym typeface="Oswald "/>
            </a:defRPr>
          </a:lvl7pPr>
          <a:lvl8pPr marL="0" marR="0" indent="1600200" algn="l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5800" b="0" i="0" u="none" strike="noStrike" cap="all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Oswald "/>
              <a:ea typeface="Oswald "/>
              <a:cs typeface="Oswald "/>
              <a:sym typeface="Oswald "/>
            </a:defRPr>
          </a:lvl8pPr>
          <a:lvl9pPr marL="0" marR="0" indent="1828800" algn="l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5800" b="0" i="0" u="none" strike="noStrike" cap="all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Oswald "/>
              <a:ea typeface="Oswald "/>
              <a:cs typeface="Oswald "/>
              <a:sym typeface="Oswald "/>
            </a:defRPr>
          </a:lvl9pPr>
        </a:lstStyle>
        <a:p>
          <a:pPr algn="ctr">
            <a:defRPr sz="3200" cap="none">
              <a:solidFill>
                <a:srgbClr val="FFFFFF"/>
              </a:solidFill>
              <a:latin typeface="+mn-lt"/>
              <a:ea typeface="+mn-ea"/>
              <a:cs typeface="+mn-cs"/>
              <a:sym typeface="Helvetica Light"/>
            </a:defRPr>
          </a:pPr>
          <a:endParaRPr/>
        </a:p>
      </xdr:txBody>
    </xdr:sp>
    <xdr:clientData/>
  </xdr:twoCellAnchor>
  <xdr:twoCellAnchor>
    <xdr:from>
      <xdr:col>7</xdr:col>
      <xdr:colOff>781050</xdr:colOff>
      <xdr:row>27</xdr:row>
      <xdr:rowOff>299355</xdr:rowOff>
    </xdr:from>
    <xdr:to>
      <xdr:col>9</xdr:col>
      <xdr:colOff>800100</xdr:colOff>
      <xdr:row>32</xdr:row>
      <xdr:rowOff>227128</xdr:rowOff>
    </xdr:to>
    <xdr:grpSp>
      <xdr:nvGrpSpPr>
        <xdr:cNvPr id="37" name="Group 4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>
          <a:grpSpLocks noChangeAspect="1"/>
        </xdr:cNvGrpSpPr>
      </xdr:nvGrpSpPr>
      <xdr:grpSpPr bwMode="auto">
        <a:xfrm flipH="1">
          <a:off x="8458200" y="8471805"/>
          <a:ext cx="2076450" cy="1642273"/>
          <a:chOff x="1730" y="388"/>
          <a:chExt cx="4209" cy="3550"/>
        </a:xfrm>
      </xdr:grpSpPr>
      <xdr:sp macro="" textlink="">
        <xdr:nvSpPr>
          <xdr:cNvPr id="38" name="Freeform 5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/>
          </xdr:cNvSpPr>
        </xdr:nvSpPr>
        <xdr:spPr bwMode="auto">
          <a:xfrm>
            <a:off x="4666" y="388"/>
            <a:ext cx="1273" cy="712"/>
          </a:xfrm>
          <a:custGeom>
            <a:avLst/>
            <a:gdLst>
              <a:gd name="T0" fmla="*/ 476 w 538"/>
              <a:gd name="T1" fmla="*/ 0 h 301"/>
              <a:gd name="T2" fmla="*/ 231 w 538"/>
              <a:gd name="T3" fmla="*/ 0 h 301"/>
              <a:gd name="T4" fmla="*/ 229 w 538"/>
              <a:gd name="T5" fmla="*/ 0 h 301"/>
              <a:gd name="T6" fmla="*/ 173 w 538"/>
              <a:gd name="T7" fmla="*/ 42 h 301"/>
              <a:gd name="T8" fmla="*/ 0 w 538"/>
              <a:gd name="T9" fmla="*/ 301 h 301"/>
              <a:gd name="T10" fmla="*/ 112 w 538"/>
              <a:gd name="T11" fmla="*/ 301 h 301"/>
              <a:gd name="T12" fmla="*/ 112 w 538"/>
              <a:gd name="T13" fmla="*/ 290 h 301"/>
              <a:gd name="T14" fmla="*/ 106 w 538"/>
              <a:gd name="T15" fmla="*/ 280 h 301"/>
              <a:gd name="T16" fmla="*/ 95 w 538"/>
              <a:gd name="T17" fmla="*/ 250 h 301"/>
              <a:gd name="T18" fmla="*/ 106 w 538"/>
              <a:gd name="T19" fmla="*/ 215 h 301"/>
              <a:gd name="T20" fmla="*/ 146 w 538"/>
              <a:gd name="T21" fmla="*/ 198 h 301"/>
              <a:gd name="T22" fmla="*/ 185 w 538"/>
              <a:gd name="T23" fmla="*/ 215 h 301"/>
              <a:gd name="T24" fmla="*/ 196 w 538"/>
              <a:gd name="T25" fmla="*/ 250 h 301"/>
              <a:gd name="T26" fmla="*/ 183 w 538"/>
              <a:gd name="T27" fmla="*/ 280 h 301"/>
              <a:gd name="T28" fmla="*/ 175 w 538"/>
              <a:gd name="T29" fmla="*/ 292 h 301"/>
              <a:gd name="T30" fmla="*/ 175 w 538"/>
              <a:gd name="T31" fmla="*/ 301 h 301"/>
              <a:gd name="T32" fmla="*/ 229 w 538"/>
              <a:gd name="T33" fmla="*/ 301 h 301"/>
              <a:gd name="T34" fmla="*/ 276 w 538"/>
              <a:gd name="T35" fmla="*/ 122 h 301"/>
              <a:gd name="T36" fmla="*/ 476 w 538"/>
              <a:gd name="T37" fmla="*/ 122 h 301"/>
              <a:gd name="T38" fmla="*/ 538 w 538"/>
              <a:gd name="T39" fmla="*/ 61 h 301"/>
              <a:gd name="T40" fmla="*/ 476 w 538"/>
              <a:gd name="T41" fmla="*/ 0 h 3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538" h="301">
                <a:moveTo>
                  <a:pt x="476" y="0"/>
                </a:moveTo>
                <a:cubicBezTo>
                  <a:pt x="231" y="0"/>
                  <a:pt x="231" y="0"/>
                  <a:pt x="231" y="0"/>
                </a:cubicBezTo>
                <a:cubicBezTo>
                  <a:pt x="231" y="0"/>
                  <a:pt x="230" y="0"/>
                  <a:pt x="229" y="0"/>
                </a:cubicBezTo>
                <a:cubicBezTo>
                  <a:pt x="204" y="3"/>
                  <a:pt x="173" y="42"/>
                  <a:pt x="173" y="42"/>
                </a:cubicBezTo>
                <a:cubicBezTo>
                  <a:pt x="0" y="301"/>
                  <a:pt x="0" y="301"/>
                  <a:pt x="0" y="301"/>
                </a:cubicBezTo>
                <a:cubicBezTo>
                  <a:pt x="112" y="301"/>
                  <a:pt x="112" y="301"/>
                  <a:pt x="112" y="301"/>
                </a:cubicBezTo>
                <a:cubicBezTo>
                  <a:pt x="112" y="290"/>
                  <a:pt x="112" y="290"/>
                  <a:pt x="112" y="290"/>
                </a:cubicBezTo>
                <a:cubicBezTo>
                  <a:pt x="112" y="288"/>
                  <a:pt x="112" y="288"/>
                  <a:pt x="106" y="280"/>
                </a:cubicBezTo>
                <a:cubicBezTo>
                  <a:pt x="101" y="273"/>
                  <a:pt x="95" y="263"/>
                  <a:pt x="95" y="250"/>
                </a:cubicBezTo>
                <a:cubicBezTo>
                  <a:pt x="95" y="238"/>
                  <a:pt x="97" y="226"/>
                  <a:pt x="106" y="215"/>
                </a:cubicBezTo>
                <a:cubicBezTo>
                  <a:pt x="113" y="205"/>
                  <a:pt x="129" y="198"/>
                  <a:pt x="146" y="198"/>
                </a:cubicBezTo>
                <a:cubicBezTo>
                  <a:pt x="162" y="199"/>
                  <a:pt x="177" y="205"/>
                  <a:pt x="185" y="215"/>
                </a:cubicBezTo>
                <a:cubicBezTo>
                  <a:pt x="193" y="225"/>
                  <a:pt x="196" y="238"/>
                  <a:pt x="196" y="250"/>
                </a:cubicBezTo>
                <a:cubicBezTo>
                  <a:pt x="196" y="263"/>
                  <a:pt x="189" y="274"/>
                  <a:pt x="183" y="280"/>
                </a:cubicBezTo>
                <a:cubicBezTo>
                  <a:pt x="177" y="288"/>
                  <a:pt x="176" y="290"/>
                  <a:pt x="175" y="292"/>
                </a:cubicBezTo>
                <a:cubicBezTo>
                  <a:pt x="175" y="301"/>
                  <a:pt x="175" y="301"/>
                  <a:pt x="175" y="301"/>
                </a:cubicBezTo>
                <a:cubicBezTo>
                  <a:pt x="229" y="301"/>
                  <a:pt x="229" y="301"/>
                  <a:pt x="229" y="301"/>
                </a:cubicBezTo>
                <a:cubicBezTo>
                  <a:pt x="276" y="122"/>
                  <a:pt x="276" y="122"/>
                  <a:pt x="276" y="122"/>
                </a:cubicBezTo>
                <a:cubicBezTo>
                  <a:pt x="476" y="122"/>
                  <a:pt x="476" y="122"/>
                  <a:pt x="476" y="122"/>
                </a:cubicBezTo>
                <a:cubicBezTo>
                  <a:pt x="509" y="123"/>
                  <a:pt x="538" y="94"/>
                  <a:pt x="538" y="61"/>
                </a:cubicBezTo>
                <a:cubicBezTo>
                  <a:pt x="538" y="29"/>
                  <a:pt x="509" y="0"/>
                  <a:pt x="476" y="0"/>
                </a:cubicBezTo>
                <a:close/>
              </a:path>
            </a:pathLst>
          </a:custGeom>
          <a:solidFill>
            <a:schemeClr val="accent1">
              <a:lumMod val="50000"/>
            </a:scheme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9" name="Freeform 6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>
            <a:spLocks/>
          </xdr:cNvSpPr>
        </xdr:nvSpPr>
        <xdr:spPr bwMode="auto">
          <a:xfrm>
            <a:off x="1730" y="1157"/>
            <a:ext cx="1194" cy="549"/>
          </a:xfrm>
          <a:custGeom>
            <a:avLst/>
            <a:gdLst>
              <a:gd name="T0" fmla="*/ 496 w 505"/>
              <a:gd name="T1" fmla="*/ 92 h 232"/>
              <a:gd name="T2" fmla="*/ 474 w 505"/>
              <a:gd name="T3" fmla="*/ 86 h 232"/>
              <a:gd name="T4" fmla="*/ 456 w 505"/>
              <a:gd name="T5" fmla="*/ 93 h 232"/>
              <a:gd name="T6" fmla="*/ 434 w 505"/>
              <a:gd name="T7" fmla="*/ 104 h 232"/>
              <a:gd name="T8" fmla="*/ 390 w 505"/>
              <a:gd name="T9" fmla="*/ 104 h 232"/>
              <a:gd name="T10" fmla="*/ 390 w 505"/>
              <a:gd name="T11" fmla="*/ 0 h 232"/>
              <a:gd name="T12" fmla="*/ 46 w 505"/>
              <a:gd name="T13" fmla="*/ 0 h 232"/>
              <a:gd name="T14" fmla="*/ 15 w 505"/>
              <a:gd name="T15" fmla="*/ 22 h 232"/>
              <a:gd name="T16" fmla="*/ 5 w 505"/>
              <a:gd name="T17" fmla="*/ 75 h 232"/>
              <a:gd name="T18" fmla="*/ 50 w 505"/>
              <a:gd name="T19" fmla="*/ 232 h 232"/>
              <a:gd name="T20" fmla="*/ 190 w 505"/>
              <a:gd name="T21" fmla="*/ 232 h 232"/>
              <a:gd name="T22" fmla="*/ 190 w 505"/>
              <a:gd name="T23" fmla="*/ 224 h 232"/>
              <a:gd name="T24" fmla="*/ 182 w 505"/>
              <a:gd name="T25" fmla="*/ 213 h 232"/>
              <a:gd name="T26" fmla="*/ 170 w 505"/>
              <a:gd name="T27" fmla="*/ 182 h 232"/>
              <a:gd name="T28" fmla="*/ 181 w 505"/>
              <a:gd name="T29" fmla="*/ 147 h 232"/>
              <a:gd name="T30" fmla="*/ 220 w 505"/>
              <a:gd name="T31" fmla="*/ 131 h 232"/>
              <a:gd name="T32" fmla="*/ 260 w 505"/>
              <a:gd name="T33" fmla="*/ 147 h 232"/>
              <a:gd name="T34" fmla="*/ 271 w 505"/>
              <a:gd name="T35" fmla="*/ 182 h 232"/>
              <a:gd name="T36" fmla="*/ 260 w 505"/>
              <a:gd name="T37" fmla="*/ 212 h 232"/>
              <a:gd name="T38" fmla="*/ 253 w 505"/>
              <a:gd name="T39" fmla="*/ 222 h 232"/>
              <a:gd name="T40" fmla="*/ 253 w 505"/>
              <a:gd name="T41" fmla="*/ 232 h 232"/>
              <a:gd name="T42" fmla="*/ 390 w 505"/>
              <a:gd name="T43" fmla="*/ 232 h 232"/>
              <a:gd name="T44" fmla="*/ 390 w 505"/>
              <a:gd name="T45" fmla="*/ 126 h 232"/>
              <a:gd name="T46" fmla="*/ 432 w 505"/>
              <a:gd name="T47" fmla="*/ 126 h 232"/>
              <a:gd name="T48" fmla="*/ 433 w 505"/>
              <a:gd name="T49" fmla="*/ 126 h 232"/>
              <a:gd name="T50" fmla="*/ 455 w 505"/>
              <a:gd name="T51" fmla="*/ 139 h 232"/>
              <a:gd name="T52" fmla="*/ 474 w 505"/>
              <a:gd name="T53" fmla="*/ 147 h 232"/>
              <a:gd name="T54" fmla="*/ 496 w 505"/>
              <a:gd name="T55" fmla="*/ 140 h 232"/>
              <a:gd name="T56" fmla="*/ 505 w 505"/>
              <a:gd name="T57" fmla="*/ 116 h 232"/>
              <a:gd name="T58" fmla="*/ 496 w 505"/>
              <a:gd name="T59" fmla="*/ 92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</a:cxnLst>
            <a:rect l="0" t="0" r="r" b="b"/>
            <a:pathLst>
              <a:path w="505" h="232">
                <a:moveTo>
                  <a:pt x="496" y="92"/>
                </a:moveTo>
                <a:cubicBezTo>
                  <a:pt x="490" y="88"/>
                  <a:pt x="482" y="86"/>
                  <a:pt x="474" y="86"/>
                </a:cubicBezTo>
                <a:cubicBezTo>
                  <a:pt x="467" y="86"/>
                  <a:pt x="461" y="89"/>
                  <a:pt x="456" y="93"/>
                </a:cubicBezTo>
                <a:cubicBezTo>
                  <a:pt x="450" y="97"/>
                  <a:pt x="444" y="104"/>
                  <a:pt x="434" y="104"/>
                </a:cubicBezTo>
                <a:cubicBezTo>
                  <a:pt x="390" y="104"/>
                  <a:pt x="390" y="104"/>
                  <a:pt x="390" y="104"/>
                </a:cubicBezTo>
                <a:cubicBezTo>
                  <a:pt x="390" y="0"/>
                  <a:pt x="390" y="0"/>
                  <a:pt x="390" y="0"/>
                </a:cubicBezTo>
                <a:cubicBezTo>
                  <a:pt x="46" y="0"/>
                  <a:pt x="46" y="0"/>
                  <a:pt x="46" y="0"/>
                </a:cubicBezTo>
                <a:cubicBezTo>
                  <a:pt x="33" y="4"/>
                  <a:pt x="22" y="12"/>
                  <a:pt x="15" y="22"/>
                </a:cubicBezTo>
                <a:cubicBezTo>
                  <a:pt x="3" y="37"/>
                  <a:pt x="0" y="57"/>
                  <a:pt x="5" y="75"/>
                </a:cubicBezTo>
                <a:cubicBezTo>
                  <a:pt x="50" y="232"/>
                  <a:pt x="50" y="232"/>
                  <a:pt x="50" y="232"/>
                </a:cubicBezTo>
                <a:cubicBezTo>
                  <a:pt x="190" y="232"/>
                  <a:pt x="190" y="232"/>
                  <a:pt x="190" y="232"/>
                </a:cubicBezTo>
                <a:cubicBezTo>
                  <a:pt x="190" y="224"/>
                  <a:pt x="190" y="224"/>
                  <a:pt x="190" y="224"/>
                </a:cubicBezTo>
                <a:cubicBezTo>
                  <a:pt x="190" y="222"/>
                  <a:pt x="188" y="221"/>
                  <a:pt x="182" y="213"/>
                </a:cubicBezTo>
                <a:cubicBezTo>
                  <a:pt x="177" y="206"/>
                  <a:pt x="170" y="195"/>
                  <a:pt x="170" y="182"/>
                </a:cubicBezTo>
                <a:cubicBezTo>
                  <a:pt x="170" y="170"/>
                  <a:pt x="172" y="158"/>
                  <a:pt x="181" y="147"/>
                </a:cubicBezTo>
                <a:cubicBezTo>
                  <a:pt x="189" y="138"/>
                  <a:pt x="203" y="131"/>
                  <a:pt x="220" y="131"/>
                </a:cubicBezTo>
                <a:cubicBezTo>
                  <a:pt x="237" y="130"/>
                  <a:pt x="252" y="137"/>
                  <a:pt x="260" y="147"/>
                </a:cubicBezTo>
                <a:cubicBezTo>
                  <a:pt x="269" y="158"/>
                  <a:pt x="271" y="170"/>
                  <a:pt x="271" y="182"/>
                </a:cubicBezTo>
                <a:cubicBezTo>
                  <a:pt x="271" y="195"/>
                  <a:pt x="265" y="205"/>
                  <a:pt x="260" y="212"/>
                </a:cubicBezTo>
                <a:cubicBezTo>
                  <a:pt x="254" y="220"/>
                  <a:pt x="253" y="220"/>
                  <a:pt x="253" y="222"/>
                </a:cubicBezTo>
                <a:cubicBezTo>
                  <a:pt x="253" y="232"/>
                  <a:pt x="253" y="232"/>
                  <a:pt x="253" y="232"/>
                </a:cubicBezTo>
                <a:cubicBezTo>
                  <a:pt x="390" y="232"/>
                  <a:pt x="390" y="232"/>
                  <a:pt x="390" y="232"/>
                </a:cubicBezTo>
                <a:cubicBezTo>
                  <a:pt x="390" y="126"/>
                  <a:pt x="390" y="126"/>
                  <a:pt x="390" y="126"/>
                </a:cubicBezTo>
                <a:cubicBezTo>
                  <a:pt x="432" y="126"/>
                  <a:pt x="432" y="126"/>
                  <a:pt x="432" y="126"/>
                </a:cubicBezTo>
                <a:cubicBezTo>
                  <a:pt x="433" y="126"/>
                  <a:pt x="433" y="126"/>
                  <a:pt x="433" y="126"/>
                </a:cubicBezTo>
                <a:cubicBezTo>
                  <a:pt x="443" y="127"/>
                  <a:pt x="450" y="134"/>
                  <a:pt x="455" y="139"/>
                </a:cubicBezTo>
                <a:cubicBezTo>
                  <a:pt x="461" y="144"/>
                  <a:pt x="467" y="147"/>
                  <a:pt x="474" y="147"/>
                </a:cubicBezTo>
                <a:cubicBezTo>
                  <a:pt x="483" y="147"/>
                  <a:pt x="490" y="145"/>
                  <a:pt x="496" y="140"/>
                </a:cubicBezTo>
                <a:cubicBezTo>
                  <a:pt x="501" y="136"/>
                  <a:pt x="505" y="129"/>
                  <a:pt x="505" y="116"/>
                </a:cubicBezTo>
                <a:cubicBezTo>
                  <a:pt x="505" y="103"/>
                  <a:pt x="501" y="97"/>
                  <a:pt x="496" y="92"/>
                </a:cubicBezTo>
                <a:close/>
              </a:path>
            </a:pathLst>
          </a:custGeom>
          <a:solidFill>
            <a:srgbClr val="FF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Freeform 7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>
            <a:spLocks/>
          </xdr:cNvSpPr>
        </xdr:nvSpPr>
        <xdr:spPr bwMode="auto">
          <a:xfrm>
            <a:off x="2709" y="1157"/>
            <a:ext cx="1521" cy="549"/>
          </a:xfrm>
          <a:custGeom>
            <a:avLst/>
            <a:gdLst>
              <a:gd name="T0" fmla="*/ 634 w 643"/>
              <a:gd name="T1" fmla="*/ 92 h 232"/>
              <a:gd name="T2" fmla="*/ 612 w 643"/>
              <a:gd name="T3" fmla="*/ 86 h 232"/>
              <a:gd name="T4" fmla="*/ 594 w 643"/>
              <a:gd name="T5" fmla="*/ 93 h 232"/>
              <a:gd name="T6" fmla="*/ 572 w 643"/>
              <a:gd name="T7" fmla="*/ 104 h 232"/>
              <a:gd name="T8" fmla="*/ 531 w 643"/>
              <a:gd name="T9" fmla="*/ 104 h 232"/>
              <a:gd name="T10" fmla="*/ 531 w 643"/>
              <a:gd name="T11" fmla="*/ 0 h 232"/>
              <a:gd name="T12" fmla="*/ 0 w 643"/>
              <a:gd name="T13" fmla="*/ 0 h 232"/>
              <a:gd name="T14" fmla="*/ 0 w 643"/>
              <a:gd name="T15" fmla="*/ 83 h 232"/>
              <a:gd name="T16" fmla="*/ 20 w 643"/>
              <a:gd name="T17" fmla="*/ 83 h 232"/>
              <a:gd name="T18" fmla="*/ 30 w 643"/>
              <a:gd name="T19" fmla="*/ 77 h 232"/>
              <a:gd name="T20" fmla="*/ 60 w 643"/>
              <a:gd name="T21" fmla="*/ 66 h 232"/>
              <a:gd name="T22" fmla="*/ 94 w 643"/>
              <a:gd name="T23" fmla="*/ 77 h 232"/>
              <a:gd name="T24" fmla="*/ 111 w 643"/>
              <a:gd name="T25" fmla="*/ 117 h 232"/>
              <a:gd name="T26" fmla="*/ 94 w 643"/>
              <a:gd name="T27" fmla="*/ 156 h 232"/>
              <a:gd name="T28" fmla="*/ 60 w 643"/>
              <a:gd name="T29" fmla="*/ 167 h 232"/>
              <a:gd name="T30" fmla="*/ 29 w 643"/>
              <a:gd name="T31" fmla="*/ 154 h 232"/>
              <a:gd name="T32" fmla="*/ 17 w 643"/>
              <a:gd name="T33" fmla="*/ 146 h 232"/>
              <a:gd name="T34" fmla="*/ 0 w 643"/>
              <a:gd name="T35" fmla="*/ 146 h 232"/>
              <a:gd name="T36" fmla="*/ 0 w 643"/>
              <a:gd name="T37" fmla="*/ 232 h 232"/>
              <a:gd name="T38" fmla="*/ 285 w 643"/>
              <a:gd name="T39" fmla="*/ 232 h 232"/>
              <a:gd name="T40" fmla="*/ 285 w 643"/>
              <a:gd name="T41" fmla="*/ 224 h 232"/>
              <a:gd name="T42" fmla="*/ 277 w 643"/>
              <a:gd name="T43" fmla="*/ 213 h 232"/>
              <a:gd name="T44" fmla="*/ 265 w 643"/>
              <a:gd name="T45" fmla="*/ 182 h 232"/>
              <a:gd name="T46" fmla="*/ 276 w 643"/>
              <a:gd name="T47" fmla="*/ 147 h 232"/>
              <a:gd name="T48" fmla="*/ 315 w 643"/>
              <a:gd name="T49" fmla="*/ 131 h 232"/>
              <a:gd name="T50" fmla="*/ 355 w 643"/>
              <a:gd name="T51" fmla="*/ 147 h 232"/>
              <a:gd name="T52" fmla="*/ 366 w 643"/>
              <a:gd name="T53" fmla="*/ 182 h 232"/>
              <a:gd name="T54" fmla="*/ 355 w 643"/>
              <a:gd name="T55" fmla="*/ 212 h 232"/>
              <a:gd name="T56" fmla="*/ 348 w 643"/>
              <a:gd name="T57" fmla="*/ 222 h 232"/>
              <a:gd name="T58" fmla="*/ 348 w 643"/>
              <a:gd name="T59" fmla="*/ 232 h 232"/>
              <a:gd name="T60" fmla="*/ 531 w 643"/>
              <a:gd name="T61" fmla="*/ 232 h 232"/>
              <a:gd name="T62" fmla="*/ 531 w 643"/>
              <a:gd name="T63" fmla="*/ 126 h 232"/>
              <a:gd name="T64" fmla="*/ 570 w 643"/>
              <a:gd name="T65" fmla="*/ 126 h 232"/>
              <a:gd name="T66" fmla="*/ 571 w 643"/>
              <a:gd name="T67" fmla="*/ 126 h 232"/>
              <a:gd name="T68" fmla="*/ 593 w 643"/>
              <a:gd name="T69" fmla="*/ 139 h 232"/>
              <a:gd name="T70" fmla="*/ 612 w 643"/>
              <a:gd name="T71" fmla="*/ 147 h 232"/>
              <a:gd name="T72" fmla="*/ 634 w 643"/>
              <a:gd name="T73" fmla="*/ 140 h 232"/>
              <a:gd name="T74" fmla="*/ 643 w 643"/>
              <a:gd name="T75" fmla="*/ 116 h 232"/>
              <a:gd name="T76" fmla="*/ 634 w 643"/>
              <a:gd name="T77" fmla="*/ 92 h 2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643" h="232">
                <a:moveTo>
                  <a:pt x="634" y="92"/>
                </a:moveTo>
                <a:cubicBezTo>
                  <a:pt x="628" y="88"/>
                  <a:pt x="620" y="86"/>
                  <a:pt x="612" y="86"/>
                </a:cubicBezTo>
                <a:cubicBezTo>
                  <a:pt x="605" y="86"/>
                  <a:pt x="599" y="89"/>
                  <a:pt x="594" y="93"/>
                </a:cubicBezTo>
                <a:cubicBezTo>
                  <a:pt x="588" y="97"/>
                  <a:pt x="582" y="104"/>
                  <a:pt x="572" y="104"/>
                </a:cubicBezTo>
                <a:cubicBezTo>
                  <a:pt x="531" y="104"/>
                  <a:pt x="531" y="104"/>
                  <a:pt x="531" y="104"/>
                </a:cubicBezTo>
                <a:cubicBezTo>
                  <a:pt x="531" y="0"/>
                  <a:pt x="531" y="0"/>
                  <a:pt x="531" y="0"/>
                </a:cubicBezTo>
                <a:cubicBezTo>
                  <a:pt x="0" y="0"/>
                  <a:pt x="0" y="0"/>
                  <a:pt x="0" y="0"/>
                </a:cubicBezTo>
                <a:cubicBezTo>
                  <a:pt x="0" y="83"/>
                  <a:pt x="0" y="83"/>
                  <a:pt x="0" y="83"/>
                </a:cubicBezTo>
                <a:cubicBezTo>
                  <a:pt x="20" y="83"/>
                  <a:pt x="20" y="83"/>
                  <a:pt x="20" y="83"/>
                </a:cubicBezTo>
                <a:cubicBezTo>
                  <a:pt x="21" y="83"/>
                  <a:pt x="22" y="83"/>
                  <a:pt x="30" y="77"/>
                </a:cubicBezTo>
                <a:cubicBezTo>
                  <a:pt x="37" y="72"/>
                  <a:pt x="47" y="66"/>
                  <a:pt x="60" y="66"/>
                </a:cubicBezTo>
                <a:cubicBezTo>
                  <a:pt x="71" y="66"/>
                  <a:pt x="84" y="68"/>
                  <a:pt x="94" y="77"/>
                </a:cubicBezTo>
                <a:cubicBezTo>
                  <a:pt x="104" y="84"/>
                  <a:pt x="111" y="100"/>
                  <a:pt x="111" y="117"/>
                </a:cubicBezTo>
                <a:cubicBezTo>
                  <a:pt x="111" y="133"/>
                  <a:pt x="104" y="148"/>
                  <a:pt x="94" y="156"/>
                </a:cubicBezTo>
                <a:cubicBezTo>
                  <a:pt x="84" y="164"/>
                  <a:pt x="72" y="167"/>
                  <a:pt x="60" y="167"/>
                </a:cubicBezTo>
                <a:cubicBezTo>
                  <a:pt x="46" y="167"/>
                  <a:pt x="36" y="160"/>
                  <a:pt x="29" y="154"/>
                </a:cubicBezTo>
                <a:cubicBezTo>
                  <a:pt x="21" y="148"/>
                  <a:pt x="19" y="147"/>
                  <a:pt x="17" y="146"/>
                </a:cubicBezTo>
                <a:cubicBezTo>
                  <a:pt x="0" y="146"/>
                  <a:pt x="0" y="146"/>
                  <a:pt x="0" y="146"/>
                </a:cubicBezTo>
                <a:cubicBezTo>
                  <a:pt x="0" y="232"/>
                  <a:pt x="0" y="232"/>
                  <a:pt x="0" y="232"/>
                </a:cubicBezTo>
                <a:cubicBezTo>
                  <a:pt x="285" y="232"/>
                  <a:pt x="285" y="232"/>
                  <a:pt x="285" y="232"/>
                </a:cubicBezTo>
                <a:cubicBezTo>
                  <a:pt x="285" y="224"/>
                  <a:pt x="285" y="224"/>
                  <a:pt x="285" y="224"/>
                </a:cubicBezTo>
                <a:cubicBezTo>
                  <a:pt x="285" y="222"/>
                  <a:pt x="283" y="221"/>
                  <a:pt x="277" y="213"/>
                </a:cubicBezTo>
                <a:cubicBezTo>
                  <a:pt x="272" y="206"/>
                  <a:pt x="265" y="195"/>
                  <a:pt x="265" y="182"/>
                </a:cubicBezTo>
                <a:cubicBezTo>
                  <a:pt x="265" y="170"/>
                  <a:pt x="267" y="158"/>
                  <a:pt x="276" y="147"/>
                </a:cubicBezTo>
                <a:cubicBezTo>
                  <a:pt x="284" y="138"/>
                  <a:pt x="298" y="131"/>
                  <a:pt x="315" y="131"/>
                </a:cubicBezTo>
                <a:cubicBezTo>
                  <a:pt x="332" y="130"/>
                  <a:pt x="347" y="137"/>
                  <a:pt x="355" y="147"/>
                </a:cubicBezTo>
                <a:cubicBezTo>
                  <a:pt x="364" y="158"/>
                  <a:pt x="366" y="170"/>
                  <a:pt x="366" y="182"/>
                </a:cubicBezTo>
                <a:cubicBezTo>
                  <a:pt x="366" y="195"/>
                  <a:pt x="360" y="205"/>
                  <a:pt x="355" y="212"/>
                </a:cubicBezTo>
                <a:cubicBezTo>
                  <a:pt x="349" y="220"/>
                  <a:pt x="348" y="220"/>
                  <a:pt x="348" y="222"/>
                </a:cubicBezTo>
                <a:cubicBezTo>
                  <a:pt x="348" y="232"/>
                  <a:pt x="348" y="232"/>
                  <a:pt x="348" y="232"/>
                </a:cubicBezTo>
                <a:cubicBezTo>
                  <a:pt x="531" y="232"/>
                  <a:pt x="531" y="232"/>
                  <a:pt x="531" y="232"/>
                </a:cubicBezTo>
                <a:cubicBezTo>
                  <a:pt x="531" y="126"/>
                  <a:pt x="531" y="126"/>
                  <a:pt x="531" y="126"/>
                </a:cubicBezTo>
                <a:cubicBezTo>
                  <a:pt x="570" y="126"/>
                  <a:pt x="570" y="126"/>
                  <a:pt x="570" y="126"/>
                </a:cubicBezTo>
                <a:cubicBezTo>
                  <a:pt x="571" y="126"/>
                  <a:pt x="571" y="126"/>
                  <a:pt x="571" y="126"/>
                </a:cubicBezTo>
                <a:cubicBezTo>
                  <a:pt x="581" y="127"/>
                  <a:pt x="588" y="134"/>
                  <a:pt x="593" y="139"/>
                </a:cubicBezTo>
                <a:cubicBezTo>
                  <a:pt x="599" y="144"/>
                  <a:pt x="605" y="147"/>
                  <a:pt x="612" y="147"/>
                </a:cubicBezTo>
                <a:cubicBezTo>
                  <a:pt x="621" y="147"/>
                  <a:pt x="628" y="145"/>
                  <a:pt x="634" y="140"/>
                </a:cubicBezTo>
                <a:cubicBezTo>
                  <a:pt x="639" y="136"/>
                  <a:pt x="643" y="129"/>
                  <a:pt x="643" y="116"/>
                </a:cubicBezTo>
                <a:cubicBezTo>
                  <a:pt x="643" y="103"/>
                  <a:pt x="639" y="97"/>
                  <a:pt x="634" y="92"/>
                </a:cubicBezTo>
                <a:close/>
              </a:path>
            </a:pathLst>
          </a:custGeom>
          <a:solidFill>
            <a:srgbClr val="FF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Freeform 8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>
            <a:spLocks/>
          </xdr:cNvSpPr>
        </xdr:nvSpPr>
        <xdr:spPr bwMode="auto">
          <a:xfrm>
            <a:off x="4022" y="903"/>
            <a:ext cx="1171" cy="803"/>
          </a:xfrm>
          <a:custGeom>
            <a:avLst/>
            <a:gdLst>
              <a:gd name="T0" fmla="*/ 427 w 495"/>
              <a:gd name="T1" fmla="*/ 73 h 339"/>
              <a:gd name="T2" fmla="*/ 427 w 495"/>
              <a:gd name="T3" fmla="*/ 72 h 339"/>
              <a:gd name="T4" fmla="*/ 440 w 495"/>
              <a:gd name="T5" fmla="*/ 50 h 339"/>
              <a:gd name="T6" fmla="*/ 448 w 495"/>
              <a:gd name="T7" fmla="*/ 32 h 339"/>
              <a:gd name="T8" fmla="*/ 441 w 495"/>
              <a:gd name="T9" fmla="*/ 10 h 339"/>
              <a:gd name="T10" fmla="*/ 417 w 495"/>
              <a:gd name="T11" fmla="*/ 0 h 339"/>
              <a:gd name="T12" fmla="*/ 393 w 495"/>
              <a:gd name="T13" fmla="*/ 9 h 339"/>
              <a:gd name="T14" fmla="*/ 387 w 495"/>
              <a:gd name="T15" fmla="*/ 32 h 339"/>
              <a:gd name="T16" fmla="*/ 394 w 495"/>
              <a:gd name="T17" fmla="*/ 50 h 339"/>
              <a:gd name="T18" fmla="*/ 404 w 495"/>
              <a:gd name="T19" fmla="*/ 72 h 339"/>
              <a:gd name="T20" fmla="*/ 404 w 495"/>
              <a:gd name="T21" fmla="*/ 107 h 339"/>
              <a:gd name="T22" fmla="*/ 0 w 495"/>
              <a:gd name="T23" fmla="*/ 107 h 339"/>
              <a:gd name="T24" fmla="*/ 0 w 495"/>
              <a:gd name="T25" fmla="*/ 190 h 339"/>
              <a:gd name="T26" fmla="*/ 17 w 495"/>
              <a:gd name="T27" fmla="*/ 190 h 339"/>
              <a:gd name="T28" fmla="*/ 27 w 495"/>
              <a:gd name="T29" fmla="*/ 184 h 339"/>
              <a:gd name="T30" fmla="*/ 57 w 495"/>
              <a:gd name="T31" fmla="*/ 173 h 339"/>
              <a:gd name="T32" fmla="*/ 91 w 495"/>
              <a:gd name="T33" fmla="*/ 184 h 339"/>
              <a:gd name="T34" fmla="*/ 108 w 495"/>
              <a:gd name="T35" fmla="*/ 224 h 339"/>
              <a:gd name="T36" fmla="*/ 91 w 495"/>
              <a:gd name="T37" fmla="*/ 263 h 339"/>
              <a:gd name="T38" fmla="*/ 57 w 495"/>
              <a:gd name="T39" fmla="*/ 274 h 339"/>
              <a:gd name="T40" fmla="*/ 26 w 495"/>
              <a:gd name="T41" fmla="*/ 261 h 339"/>
              <a:gd name="T42" fmla="*/ 14 w 495"/>
              <a:gd name="T43" fmla="*/ 253 h 339"/>
              <a:gd name="T44" fmla="*/ 0 w 495"/>
              <a:gd name="T45" fmla="*/ 253 h 339"/>
              <a:gd name="T46" fmla="*/ 0 w 495"/>
              <a:gd name="T47" fmla="*/ 339 h 339"/>
              <a:gd name="T48" fmla="*/ 184 w 495"/>
              <a:gd name="T49" fmla="*/ 339 h 339"/>
              <a:gd name="T50" fmla="*/ 184 w 495"/>
              <a:gd name="T51" fmla="*/ 331 h 339"/>
              <a:gd name="T52" fmla="*/ 176 w 495"/>
              <a:gd name="T53" fmla="*/ 320 h 339"/>
              <a:gd name="T54" fmla="*/ 164 w 495"/>
              <a:gd name="T55" fmla="*/ 289 h 339"/>
              <a:gd name="T56" fmla="*/ 175 w 495"/>
              <a:gd name="T57" fmla="*/ 254 h 339"/>
              <a:gd name="T58" fmla="*/ 214 w 495"/>
              <a:gd name="T59" fmla="*/ 238 h 339"/>
              <a:gd name="T60" fmla="*/ 254 w 495"/>
              <a:gd name="T61" fmla="*/ 254 h 339"/>
              <a:gd name="T62" fmla="*/ 265 w 495"/>
              <a:gd name="T63" fmla="*/ 289 h 339"/>
              <a:gd name="T64" fmla="*/ 254 w 495"/>
              <a:gd name="T65" fmla="*/ 319 h 339"/>
              <a:gd name="T66" fmla="*/ 247 w 495"/>
              <a:gd name="T67" fmla="*/ 329 h 339"/>
              <a:gd name="T68" fmla="*/ 247 w 495"/>
              <a:gd name="T69" fmla="*/ 339 h 339"/>
              <a:gd name="T70" fmla="*/ 435 w 495"/>
              <a:gd name="T71" fmla="*/ 339 h 339"/>
              <a:gd name="T72" fmla="*/ 495 w 495"/>
              <a:gd name="T73" fmla="*/ 107 h 339"/>
              <a:gd name="T74" fmla="*/ 427 w 495"/>
              <a:gd name="T75" fmla="*/ 107 h 339"/>
              <a:gd name="T76" fmla="*/ 427 w 495"/>
              <a:gd name="T77" fmla="*/ 73 h 33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495" h="339">
                <a:moveTo>
                  <a:pt x="427" y="73"/>
                </a:moveTo>
                <a:cubicBezTo>
                  <a:pt x="427" y="72"/>
                  <a:pt x="427" y="72"/>
                  <a:pt x="427" y="72"/>
                </a:cubicBezTo>
                <a:cubicBezTo>
                  <a:pt x="428" y="62"/>
                  <a:pt x="435" y="56"/>
                  <a:pt x="440" y="50"/>
                </a:cubicBezTo>
                <a:cubicBezTo>
                  <a:pt x="445" y="44"/>
                  <a:pt x="448" y="39"/>
                  <a:pt x="448" y="32"/>
                </a:cubicBezTo>
                <a:cubicBezTo>
                  <a:pt x="448" y="23"/>
                  <a:pt x="446" y="15"/>
                  <a:pt x="441" y="10"/>
                </a:cubicBezTo>
                <a:cubicBezTo>
                  <a:pt x="437" y="4"/>
                  <a:pt x="430" y="1"/>
                  <a:pt x="417" y="0"/>
                </a:cubicBezTo>
                <a:cubicBezTo>
                  <a:pt x="404" y="0"/>
                  <a:pt x="398" y="4"/>
                  <a:pt x="393" y="9"/>
                </a:cubicBezTo>
                <a:cubicBezTo>
                  <a:pt x="389" y="15"/>
                  <a:pt x="387" y="23"/>
                  <a:pt x="387" y="32"/>
                </a:cubicBezTo>
                <a:cubicBezTo>
                  <a:pt x="387" y="39"/>
                  <a:pt x="390" y="44"/>
                  <a:pt x="394" y="50"/>
                </a:cubicBezTo>
                <a:cubicBezTo>
                  <a:pt x="398" y="56"/>
                  <a:pt x="404" y="62"/>
                  <a:pt x="404" y="72"/>
                </a:cubicBezTo>
                <a:cubicBezTo>
                  <a:pt x="404" y="107"/>
                  <a:pt x="404" y="107"/>
                  <a:pt x="404" y="107"/>
                </a:cubicBezTo>
                <a:cubicBezTo>
                  <a:pt x="0" y="107"/>
                  <a:pt x="0" y="107"/>
                  <a:pt x="0" y="107"/>
                </a:cubicBezTo>
                <a:cubicBezTo>
                  <a:pt x="0" y="190"/>
                  <a:pt x="0" y="190"/>
                  <a:pt x="0" y="190"/>
                </a:cubicBezTo>
                <a:cubicBezTo>
                  <a:pt x="17" y="190"/>
                  <a:pt x="17" y="190"/>
                  <a:pt x="17" y="190"/>
                </a:cubicBezTo>
                <a:cubicBezTo>
                  <a:pt x="18" y="190"/>
                  <a:pt x="19" y="190"/>
                  <a:pt x="27" y="184"/>
                </a:cubicBezTo>
                <a:cubicBezTo>
                  <a:pt x="34" y="179"/>
                  <a:pt x="44" y="173"/>
                  <a:pt x="57" y="173"/>
                </a:cubicBezTo>
                <a:cubicBezTo>
                  <a:pt x="68" y="173"/>
                  <a:pt x="81" y="175"/>
                  <a:pt x="91" y="184"/>
                </a:cubicBezTo>
                <a:cubicBezTo>
                  <a:pt x="101" y="191"/>
                  <a:pt x="108" y="207"/>
                  <a:pt x="108" y="224"/>
                </a:cubicBezTo>
                <a:cubicBezTo>
                  <a:pt x="108" y="240"/>
                  <a:pt x="101" y="255"/>
                  <a:pt x="91" y="263"/>
                </a:cubicBezTo>
                <a:cubicBezTo>
                  <a:pt x="81" y="271"/>
                  <a:pt x="69" y="274"/>
                  <a:pt x="57" y="274"/>
                </a:cubicBezTo>
                <a:cubicBezTo>
                  <a:pt x="43" y="274"/>
                  <a:pt x="33" y="267"/>
                  <a:pt x="26" y="261"/>
                </a:cubicBezTo>
                <a:cubicBezTo>
                  <a:pt x="18" y="255"/>
                  <a:pt x="16" y="254"/>
                  <a:pt x="14" y="253"/>
                </a:cubicBezTo>
                <a:cubicBezTo>
                  <a:pt x="0" y="253"/>
                  <a:pt x="0" y="253"/>
                  <a:pt x="0" y="253"/>
                </a:cubicBezTo>
                <a:cubicBezTo>
                  <a:pt x="0" y="339"/>
                  <a:pt x="0" y="339"/>
                  <a:pt x="0" y="339"/>
                </a:cubicBezTo>
                <a:cubicBezTo>
                  <a:pt x="184" y="339"/>
                  <a:pt x="184" y="339"/>
                  <a:pt x="184" y="339"/>
                </a:cubicBezTo>
                <a:cubicBezTo>
                  <a:pt x="184" y="331"/>
                  <a:pt x="184" y="331"/>
                  <a:pt x="184" y="331"/>
                </a:cubicBezTo>
                <a:cubicBezTo>
                  <a:pt x="184" y="329"/>
                  <a:pt x="183" y="328"/>
                  <a:pt x="176" y="320"/>
                </a:cubicBezTo>
                <a:cubicBezTo>
                  <a:pt x="171" y="313"/>
                  <a:pt x="164" y="302"/>
                  <a:pt x="164" y="289"/>
                </a:cubicBezTo>
                <a:cubicBezTo>
                  <a:pt x="164" y="277"/>
                  <a:pt x="167" y="265"/>
                  <a:pt x="175" y="254"/>
                </a:cubicBezTo>
                <a:cubicBezTo>
                  <a:pt x="183" y="245"/>
                  <a:pt x="197" y="238"/>
                  <a:pt x="214" y="238"/>
                </a:cubicBezTo>
                <a:cubicBezTo>
                  <a:pt x="231" y="237"/>
                  <a:pt x="247" y="244"/>
                  <a:pt x="254" y="254"/>
                </a:cubicBezTo>
                <a:cubicBezTo>
                  <a:pt x="263" y="265"/>
                  <a:pt x="265" y="277"/>
                  <a:pt x="265" y="289"/>
                </a:cubicBezTo>
                <a:cubicBezTo>
                  <a:pt x="265" y="302"/>
                  <a:pt x="259" y="312"/>
                  <a:pt x="254" y="319"/>
                </a:cubicBezTo>
                <a:cubicBezTo>
                  <a:pt x="248" y="327"/>
                  <a:pt x="247" y="327"/>
                  <a:pt x="247" y="329"/>
                </a:cubicBezTo>
                <a:cubicBezTo>
                  <a:pt x="247" y="339"/>
                  <a:pt x="247" y="339"/>
                  <a:pt x="247" y="339"/>
                </a:cubicBezTo>
                <a:cubicBezTo>
                  <a:pt x="435" y="339"/>
                  <a:pt x="435" y="339"/>
                  <a:pt x="435" y="339"/>
                </a:cubicBezTo>
                <a:cubicBezTo>
                  <a:pt x="495" y="107"/>
                  <a:pt x="495" y="107"/>
                  <a:pt x="495" y="107"/>
                </a:cubicBezTo>
                <a:cubicBezTo>
                  <a:pt x="427" y="107"/>
                  <a:pt x="427" y="107"/>
                  <a:pt x="427" y="107"/>
                </a:cubicBezTo>
                <a:lnTo>
                  <a:pt x="427" y="73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2" name="Freeform 9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1862" y="1512"/>
            <a:ext cx="1025" cy="1060"/>
          </a:xfrm>
          <a:custGeom>
            <a:avLst/>
            <a:gdLst>
              <a:gd name="T0" fmla="*/ 177 w 433"/>
              <a:gd name="T1" fmla="*/ 72 h 448"/>
              <a:gd name="T2" fmla="*/ 188 w 433"/>
              <a:gd name="T3" fmla="*/ 50 h 448"/>
              <a:gd name="T4" fmla="*/ 195 w 433"/>
              <a:gd name="T5" fmla="*/ 32 h 448"/>
              <a:gd name="T6" fmla="*/ 188 w 433"/>
              <a:gd name="T7" fmla="*/ 10 h 448"/>
              <a:gd name="T8" fmla="*/ 164 w 433"/>
              <a:gd name="T9" fmla="*/ 1 h 448"/>
              <a:gd name="T10" fmla="*/ 140 w 433"/>
              <a:gd name="T11" fmla="*/ 10 h 448"/>
              <a:gd name="T12" fmla="*/ 134 w 433"/>
              <a:gd name="T13" fmla="*/ 32 h 448"/>
              <a:gd name="T14" fmla="*/ 142 w 433"/>
              <a:gd name="T15" fmla="*/ 50 h 448"/>
              <a:gd name="T16" fmla="*/ 154 w 433"/>
              <a:gd name="T17" fmla="*/ 72 h 448"/>
              <a:gd name="T18" fmla="*/ 154 w 433"/>
              <a:gd name="T19" fmla="*/ 73 h 448"/>
              <a:gd name="T20" fmla="*/ 154 w 433"/>
              <a:gd name="T21" fmla="*/ 106 h 448"/>
              <a:gd name="T22" fmla="*/ 0 w 433"/>
              <a:gd name="T23" fmla="*/ 106 h 448"/>
              <a:gd name="T24" fmla="*/ 67 w 433"/>
              <a:gd name="T25" fmla="*/ 338 h 448"/>
              <a:gd name="T26" fmla="*/ 243 w 433"/>
              <a:gd name="T27" fmla="*/ 338 h 448"/>
              <a:gd name="T28" fmla="*/ 243 w 433"/>
              <a:gd name="T29" fmla="*/ 375 h 448"/>
              <a:gd name="T30" fmla="*/ 243 w 433"/>
              <a:gd name="T31" fmla="*/ 376 h 448"/>
              <a:gd name="T32" fmla="*/ 231 w 433"/>
              <a:gd name="T33" fmla="*/ 398 h 448"/>
              <a:gd name="T34" fmla="*/ 223 w 433"/>
              <a:gd name="T35" fmla="*/ 416 h 448"/>
              <a:gd name="T36" fmla="*/ 229 w 433"/>
              <a:gd name="T37" fmla="*/ 438 h 448"/>
              <a:gd name="T38" fmla="*/ 254 w 433"/>
              <a:gd name="T39" fmla="*/ 447 h 448"/>
              <a:gd name="T40" fmla="*/ 278 w 433"/>
              <a:gd name="T41" fmla="*/ 438 h 448"/>
              <a:gd name="T42" fmla="*/ 284 w 433"/>
              <a:gd name="T43" fmla="*/ 416 h 448"/>
              <a:gd name="T44" fmla="*/ 277 w 433"/>
              <a:gd name="T45" fmla="*/ 398 h 448"/>
              <a:gd name="T46" fmla="*/ 266 w 433"/>
              <a:gd name="T47" fmla="*/ 376 h 448"/>
              <a:gd name="T48" fmla="*/ 266 w 433"/>
              <a:gd name="T49" fmla="*/ 338 h 448"/>
              <a:gd name="T50" fmla="*/ 433 w 433"/>
              <a:gd name="T51" fmla="*/ 338 h 448"/>
              <a:gd name="T52" fmla="*/ 433 w 433"/>
              <a:gd name="T53" fmla="*/ 252 h 448"/>
              <a:gd name="T54" fmla="*/ 420 w 433"/>
              <a:gd name="T55" fmla="*/ 252 h 448"/>
              <a:gd name="T56" fmla="*/ 408 w 433"/>
              <a:gd name="T57" fmla="*/ 260 h 448"/>
              <a:gd name="T58" fmla="*/ 377 w 433"/>
              <a:gd name="T59" fmla="*/ 273 h 448"/>
              <a:gd name="T60" fmla="*/ 343 w 433"/>
              <a:gd name="T61" fmla="*/ 262 h 448"/>
              <a:gd name="T62" fmla="*/ 326 w 433"/>
              <a:gd name="T63" fmla="*/ 223 h 448"/>
              <a:gd name="T64" fmla="*/ 343 w 433"/>
              <a:gd name="T65" fmla="*/ 183 h 448"/>
              <a:gd name="T66" fmla="*/ 377 w 433"/>
              <a:gd name="T67" fmla="*/ 172 h 448"/>
              <a:gd name="T68" fmla="*/ 407 w 433"/>
              <a:gd name="T69" fmla="*/ 183 h 448"/>
              <a:gd name="T70" fmla="*/ 418 w 433"/>
              <a:gd name="T71" fmla="*/ 189 h 448"/>
              <a:gd name="T72" fmla="*/ 433 w 433"/>
              <a:gd name="T73" fmla="*/ 189 h 448"/>
              <a:gd name="T74" fmla="*/ 433 w 433"/>
              <a:gd name="T75" fmla="*/ 106 h 448"/>
              <a:gd name="T76" fmla="*/ 177 w 433"/>
              <a:gd name="T77" fmla="*/ 106 h 448"/>
              <a:gd name="T78" fmla="*/ 177 w 433"/>
              <a:gd name="T79" fmla="*/ 72 h 4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</a:cxnLst>
            <a:rect l="0" t="0" r="r" b="b"/>
            <a:pathLst>
              <a:path w="433" h="448">
                <a:moveTo>
                  <a:pt x="177" y="72"/>
                </a:moveTo>
                <a:cubicBezTo>
                  <a:pt x="177" y="62"/>
                  <a:pt x="183" y="56"/>
                  <a:pt x="188" y="50"/>
                </a:cubicBezTo>
                <a:cubicBezTo>
                  <a:pt x="192" y="44"/>
                  <a:pt x="195" y="39"/>
                  <a:pt x="195" y="32"/>
                </a:cubicBezTo>
                <a:cubicBezTo>
                  <a:pt x="195" y="23"/>
                  <a:pt x="193" y="15"/>
                  <a:pt x="188" y="10"/>
                </a:cubicBezTo>
                <a:cubicBezTo>
                  <a:pt x="184" y="4"/>
                  <a:pt x="177" y="0"/>
                  <a:pt x="164" y="1"/>
                </a:cubicBezTo>
                <a:cubicBezTo>
                  <a:pt x="151" y="1"/>
                  <a:pt x="145" y="5"/>
                  <a:pt x="140" y="10"/>
                </a:cubicBezTo>
                <a:cubicBezTo>
                  <a:pt x="136" y="15"/>
                  <a:pt x="134" y="23"/>
                  <a:pt x="134" y="32"/>
                </a:cubicBezTo>
                <a:cubicBezTo>
                  <a:pt x="134" y="39"/>
                  <a:pt x="137" y="44"/>
                  <a:pt x="142" y="50"/>
                </a:cubicBezTo>
                <a:cubicBezTo>
                  <a:pt x="147" y="56"/>
                  <a:pt x="153" y="62"/>
                  <a:pt x="154" y="72"/>
                </a:cubicBezTo>
                <a:cubicBezTo>
                  <a:pt x="154" y="73"/>
                  <a:pt x="154" y="73"/>
                  <a:pt x="154" y="73"/>
                </a:cubicBezTo>
                <a:cubicBezTo>
                  <a:pt x="154" y="106"/>
                  <a:pt x="154" y="106"/>
                  <a:pt x="154" y="106"/>
                </a:cubicBezTo>
                <a:cubicBezTo>
                  <a:pt x="0" y="106"/>
                  <a:pt x="0" y="106"/>
                  <a:pt x="0" y="106"/>
                </a:cubicBezTo>
                <a:cubicBezTo>
                  <a:pt x="67" y="338"/>
                  <a:pt x="67" y="338"/>
                  <a:pt x="67" y="338"/>
                </a:cubicBezTo>
                <a:cubicBezTo>
                  <a:pt x="243" y="338"/>
                  <a:pt x="243" y="338"/>
                  <a:pt x="243" y="338"/>
                </a:cubicBezTo>
                <a:cubicBezTo>
                  <a:pt x="243" y="375"/>
                  <a:pt x="243" y="375"/>
                  <a:pt x="243" y="375"/>
                </a:cubicBezTo>
                <a:cubicBezTo>
                  <a:pt x="243" y="375"/>
                  <a:pt x="243" y="375"/>
                  <a:pt x="243" y="376"/>
                </a:cubicBezTo>
                <a:cubicBezTo>
                  <a:pt x="242" y="386"/>
                  <a:pt x="236" y="392"/>
                  <a:pt x="231" y="398"/>
                </a:cubicBezTo>
                <a:cubicBezTo>
                  <a:pt x="226" y="404"/>
                  <a:pt x="223" y="409"/>
                  <a:pt x="223" y="416"/>
                </a:cubicBezTo>
                <a:cubicBezTo>
                  <a:pt x="223" y="425"/>
                  <a:pt x="225" y="433"/>
                  <a:pt x="229" y="438"/>
                </a:cubicBezTo>
                <a:cubicBezTo>
                  <a:pt x="234" y="443"/>
                  <a:pt x="241" y="447"/>
                  <a:pt x="254" y="447"/>
                </a:cubicBezTo>
                <a:cubicBezTo>
                  <a:pt x="266" y="448"/>
                  <a:pt x="273" y="444"/>
                  <a:pt x="278" y="438"/>
                </a:cubicBezTo>
                <a:cubicBezTo>
                  <a:pt x="282" y="433"/>
                  <a:pt x="284" y="425"/>
                  <a:pt x="284" y="416"/>
                </a:cubicBezTo>
                <a:cubicBezTo>
                  <a:pt x="284" y="409"/>
                  <a:pt x="281" y="404"/>
                  <a:pt x="277" y="398"/>
                </a:cubicBezTo>
                <a:cubicBezTo>
                  <a:pt x="272" y="392"/>
                  <a:pt x="266" y="386"/>
                  <a:pt x="266" y="376"/>
                </a:cubicBezTo>
                <a:cubicBezTo>
                  <a:pt x="266" y="338"/>
                  <a:pt x="266" y="338"/>
                  <a:pt x="266" y="338"/>
                </a:cubicBezTo>
                <a:cubicBezTo>
                  <a:pt x="433" y="338"/>
                  <a:pt x="433" y="338"/>
                  <a:pt x="433" y="338"/>
                </a:cubicBezTo>
                <a:cubicBezTo>
                  <a:pt x="433" y="252"/>
                  <a:pt x="433" y="252"/>
                  <a:pt x="433" y="252"/>
                </a:cubicBezTo>
                <a:cubicBezTo>
                  <a:pt x="420" y="252"/>
                  <a:pt x="420" y="252"/>
                  <a:pt x="420" y="252"/>
                </a:cubicBezTo>
                <a:cubicBezTo>
                  <a:pt x="418" y="253"/>
                  <a:pt x="416" y="254"/>
                  <a:pt x="408" y="260"/>
                </a:cubicBezTo>
                <a:cubicBezTo>
                  <a:pt x="402" y="266"/>
                  <a:pt x="391" y="273"/>
                  <a:pt x="377" y="273"/>
                </a:cubicBezTo>
                <a:cubicBezTo>
                  <a:pt x="366" y="273"/>
                  <a:pt x="353" y="270"/>
                  <a:pt x="343" y="262"/>
                </a:cubicBezTo>
                <a:cubicBezTo>
                  <a:pt x="333" y="254"/>
                  <a:pt x="326" y="239"/>
                  <a:pt x="326" y="223"/>
                </a:cubicBezTo>
                <a:cubicBezTo>
                  <a:pt x="326" y="206"/>
                  <a:pt x="333" y="190"/>
                  <a:pt x="343" y="183"/>
                </a:cubicBezTo>
                <a:cubicBezTo>
                  <a:pt x="353" y="174"/>
                  <a:pt x="366" y="172"/>
                  <a:pt x="377" y="172"/>
                </a:cubicBezTo>
                <a:cubicBezTo>
                  <a:pt x="390" y="172"/>
                  <a:pt x="401" y="178"/>
                  <a:pt x="407" y="183"/>
                </a:cubicBezTo>
                <a:cubicBezTo>
                  <a:pt x="415" y="189"/>
                  <a:pt x="416" y="189"/>
                  <a:pt x="418" y="189"/>
                </a:cubicBezTo>
                <a:cubicBezTo>
                  <a:pt x="433" y="189"/>
                  <a:pt x="433" y="189"/>
                  <a:pt x="433" y="189"/>
                </a:cubicBezTo>
                <a:cubicBezTo>
                  <a:pt x="433" y="106"/>
                  <a:pt x="433" y="106"/>
                  <a:pt x="433" y="106"/>
                </a:cubicBezTo>
                <a:cubicBezTo>
                  <a:pt x="177" y="106"/>
                  <a:pt x="177" y="106"/>
                  <a:pt x="177" y="106"/>
                </a:cubicBezTo>
                <a:lnTo>
                  <a:pt x="177" y="72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2" name="Freeform 1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>
            <a:spLocks/>
          </xdr:cNvSpPr>
        </xdr:nvSpPr>
        <xdr:spPr bwMode="auto">
          <a:xfrm>
            <a:off x="3760" y="1512"/>
            <a:ext cx="1277" cy="1060"/>
          </a:xfrm>
          <a:custGeom>
            <a:avLst/>
            <a:gdLst>
              <a:gd name="T0" fmla="*/ 338 w 540"/>
              <a:gd name="T1" fmla="*/ 72 h 448"/>
              <a:gd name="T2" fmla="*/ 349 w 540"/>
              <a:gd name="T3" fmla="*/ 50 h 448"/>
              <a:gd name="T4" fmla="*/ 356 w 540"/>
              <a:gd name="T5" fmla="*/ 32 h 448"/>
              <a:gd name="T6" fmla="*/ 350 w 540"/>
              <a:gd name="T7" fmla="*/ 10 h 448"/>
              <a:gd name="T8" fmla="*/ 326 w 540"/>
              <a:gd name="T9" fmla="*/ 1 h 448"/>
              <a:gd name="T10" fmla="*/ 301 w 540"/>
              <a:gd name="T11" fmla="*/ 10 h 448"/>
              <a:gd name="T12" fmla="*/ 295 w 540"/>
              <a:gd name="T13" fmla="*/ 32 h 448"/>
              <a:gd name="T14" fmla="*/ 303 w 540"/>
              <a:gd name="T15" fmla="*/ 50 h 448"/>
              <a:gd name="T16" fmla="*/ 315 w 540"/>
              <a:gd name="T17" fmla="*/ 72 h 448"/>
              <a:gd name="T18" fmla="*/ 315 w 540"/>
              <a:gd name="T19" fmla="*/ 73 h 448"/>
              <a:gd name="T20" fmla="*/ 315 w 540"/>
              <a:gd name="T21" fmla="*/ 106 h 448"/>
              <a:gd name="T22" fmla="*/ 111 w 540"/>
              <a:gd name="T23" fmla="*/ 106 h 448"/>
              <a:gd name="T24" fmla="*/ 111 w 540"/>
              <a:gd name="T25" fmla="*/ 210 h 448"/>
              <a:gd name="T26" fmla="*/ 72 w 540"/>
              <a:gd name="T27" fmla="*/ 210 h 448"/>
              <a:gd name="T28" fmla="*/ 50 w 540"/>
              <a:gd name="T29" fmla="*/ 199 h 448"/>
              <a:gd name="T30" fmla="*/ 31 w 540"/>
              <a:gd name="T31" fmla="*/ 192 h 448"/>
              <a:gd name="T32" fmla="*/ 9 w 540"/>
              <a:gd name="T33" fmla="*/ 198 h 448"/>
              <a:gd name="T34" fmla="*/ 0 w 540"/>
              <a:gd name="T35" fmla="*/ 222 h 448"/>
              <a:gd name="T36" fmla="*/ 10 w 540"/>
              <a:gd name="T37" fmla="*/ 246 h 448"/>
              <a:gd name="T38" fmla="*/ 31 w 540"/>
              <a:gd name="T39" fmla="*/ 253 h 448"/>
              <a:gd name="T40" fmla="*/ 50 w 540"/>
              <a:gd name="T41" fmla="*/ 245 h 448"/>
              <a:gd name="T42" fmla="*/ 72 w 540"/>
              <a:gd name="T43" fmla="*/ 232 h 448"/>
              <a:gd name="T44" fmla="*/ 73 w 540"/>
              <a:gd name="T45" fmla="*/ 232 h 448"/>
              <a:gd name="T46" fmla="*/ 111 w 540"/>
              <a:gd name="T47" fmla="*/ 232 h 448"/>
              <a:gd name="T48" fmla="*/ 111 w 540"/>
              <a:gd name="T49" fmla="*/ 338 h 448"/>
              <a:gd name="T50" fmla="*/ 222 w 540"/>
              <a:gd name="T51" fmla="*/ 338 h 448"/>
              <a:gd name="T52" fmla="*/ 222 w 540"/>
              <a:gd name="T53" fmla="*/ 375 h 448"/>
              <a:gd name="T54" fmla="*/ 222 w 540"/>
              <a:gd name="T55" fmla="*/ 376 h 448"/>
              <a:gd name="T56" fmla="*/ 210 w 540"/>
              <a:gd name="T57" fmla="*/ 398 h 448"/>
              <a:gd name="T58" fmla="*/ 202 w 540"/>
              <a:gd name="T59" fmla="*/ 416 h 448"/>
              <a:gd name="T60" fmla="*/ 208 w 540"/>
              <a:gd name="T61" fmla="*/ 438 h 448"/>
              <a:gd name="T62" fmla="*/ 233 w 540"/>
              <a:gd name="T63" fmla="*/ 447 h 448"/>
              <a:gd name="T64" fmla="*/ 257 w 540"/>
              <a:gd name="T65" fmla="*/ 438 h 448"/>
              <a:gd name="T66" fmla="*/ 263 w 540"/>
              <a:gd name="T67" fmla="*/ 416 h 448"/>
              <a:gd name="T68" fmla="*/ 256 w 540"/>
              <a:gd name="T69" fmla="*/ 398 h 448"/>
              <a:gd name="T70" fmla="*/ 245 w 540"/>
              <a:gd name="T71" fmla="*/ 376 h 448"/>
              <a:gd name="T72" fmla="*/ 245 w 540"/>
              <a:gd name="T73" fmla="*/ 338 h 448"/>
              <a:gd name="T74" fmla="*/ 480 w 540"/>
              <a:gd name="T75" fmla="*/ 338 h 448"/>
              <a:gd name="T76" fmla="*/ 540 w 540"/>
              <a:gd name="T77" fmla="*/ 106 h 448"/>
              <a:gd name="T78" fmla="*/ 338 w 540"/>
              <a:gd name="T79" fmla="*/ 106 h 448"/>
              <a:gd name="T80" fmla="*/ 338 w 540"/>
              <a:gd name="T81" fmla="*/ 72 h 4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</a:cxnLst>
            <a:rect l="0" t="0" r="r" b="b"/>
            <a:pathLst>
              <a:path w="540" h="448">
                <a:moveTo>
                  <a:pt x="338" y="72"/>
                </a:moveTo>
                <a:cubicBezTo>
                  <a:pt x="338" y="62"/>
                  <a:pt x="344" y="56"/>
                  <a:pt x="349" y="50"/>
                </a:cubicBezTo>
                <a:cubicBezTo>
                  <a:pt x="353" y="44"/>
                  <a:pt x="356" y="39"/>
                  <a:pt x="356" y="32"/>
                </a:cubicBezTo>
                <a:cubicBezTo>
                  <a:pt x="356" y="23"/>
                  <a:pt x="354" y="15"/>
                  <a:pt x="350" y="10"/>
                </a:cubicBezTo>
                <a:cubicBezTo>
                  <a:pt x="345" y="4"/>
                  <a:pt x="339" y="0"/>
                  <a:pt x="326" y="1"/>
                </a:cubicBezTo>
                <a:cubicBezTo>
                  <a:pt x="313" y="1"/>
                  <a:pt x="306" y="5"/>
                  <a:pt x="301" y="10"/>
                </a:cubicBezTo>
                <a:cubicBezTo>
                  <a:pt x="297" y="15"/>
                  <a:pt x="295" y="23"/>
                  <a:pt x="295" y="32"/>
                </a:cubicBezTo>
                <a:cubicBezTo>
                  <a:pt x="295" y="39"/>
                  <a:pt x="298" y="44"/>
                  <a:pt x="303" y="50"/>
                </a:cubicBezTo>
                <a:cubicBezTo>
                  <a:pt x="308" y="56"/>
                  <a:pt x="314" y="62"/>
                  <a:pt x="315" y="72"/>
                </a:cubicBezTo>
                <a:cubicBezTo>
                  <a:pt x="315" y="73"/>
                  <a:pt x="315" y="73"/>
                  <a:pt x="315" y="73"/>
                </a:cubicBezTo>
                <a:cubicBezTo>
                  <a:pt x="315" y="106"/>
                  <a:pt x="315" y="106"/>
                  <a:pt x="315" y="106"/>
                </a:cubicBezTo>
                <a:cubicBezTo>
                  <a:pt x="111" y="106"/>
                  <a:pt x="111" y="106"/>
                  <a:pt x="111" y="106"/>
                </a:cubicBezTo>
                <a:cubicBezTo>
                  <a:pt x="111" y="210"/>
                  <a:pt x="111" y="210"/>
                  <a:pt x="111" y="210"/>
                </a:cubicBezTo>
                <a:cubicBezTo>
                  <a:pt x="72" y="210"/>
                  <a:pt x="72" y="210"/>
                  <a:pt x="72" y="210"/>
                </a:cubicBezTo>
                <a:cubicBezTo>
                  <a:pt x="62" y="210"/>
                  <a:pt x="56" y="203"/>
                  <a:pt x="50" y="199"/>
                </a:cubicBezTo>
                <a:cubicBezTo>
                  <a:pt x="44" y="195"/>
                  <a:pt x="39" y="192"/>
                  <a:pt x="31" y="192"/>
                </a:cubicBezTo>
                <a:cubicBezTo>
                  <a:pt x="23" y="192"/>
                  <a:pt x="15" y="194"/>
                  <a:pt x="9" y="198"/>
                </a:cubicBezTo>
                <a:cubicBezTo>
                  <a:pt x="4" y="203"/>
                  <a:pt x="0" y="209"/>
                  <a:pt x="0" y="222"/>
                </a:cubicBezTo>
                <a:cubicBezTo>
                  <a:pt x="0" y="235"/>
                  <a:pt x="4" y="242"/>
                  <a:pt x="10" y="246"/>
                </a:cubicBezTo>
                <a:cubicBezTo>
                  <a:pt x="15" y="251"/>
                  <a:pt x="23" y="253"/>
                  <a:pt x="31" y="253"/>
                </a:cubicBezTo>
                <a:cubicBezTo>
                  <a:pt x="39" y="253"/>
                  <a:pt x="44" y="250"/>
                  <a:pt x="50" y="245"/>
                </a:cubicBezTo>
                <a:cubicBezTo>
                  <a:pt x="56" y="240"/>
                  <a:pt x="62" y="233"/>
                  <a:pt x="72" y="232"/>
                </a:cubicBezTo>
                <a:cubicBezTo>
                  <a:pt x="73" y="232"/>
                  <a:pt x="73" y="232"/>
                  <a:pt x="73" y="232"/>
                </a:cubicBezTo>
                <a:cubicBezTo>
                  <a:pt x="111" y="232"/>
                  <a:pt x="111" y="232"/>
                  <a:pt x="111" y="232"/>
                </a:cubicBezTo>
                <a:cubicBezTo>
                  <a:pt x="111" y="338"/>
                  <a:pt x="111" y="338"/>
                  <a:pt x="111" y="338"/>
                </a:cubicBezTo>
                <a:cubicBezTo>
                  <a:pt x="222" y="338"/>
                  <a:pt x="222" y="338"/>
                  <a:pt x="222" y="338"/>
                </a:cubicBezTo>
                <a:cubicBezTo>
                  <a:pt x="222" y="375"/>
                  <a:pt x="222" y="375"/>
                  <a:pt x="222" y="375"/>
                </a:cubicBezTo>
                <a:cubicBezTo>
                  <a:pt x="222" y="375"/>
                  <a:pt x="222" y="375"/>
                  <a:pt x="222" y="376"/>
                </a:cubicBezTo>
                <a:cubicBezTo>
                  <a:pt x="221" y="386"/>
                  <a:pt x="215" y="392"/>
                  <a:pt x="210" y="398"/>
                </a:cubicBezTo>
                <a:cubicBezTo>
                  <a:pt x="205" y="404"/>
                  <a:pt x="202" y="409"/>
                  <a:pt x="202" y="416"/>
                </a:cubicBezTo>
                <a:cubicBezTo>
                  <a:pt x="202" y="425"/>
                  <a:pt x="204" y="433"/>
                  <a:pt x="208" y="438"/>
                </a:cubicBezTo>
                <a:cubicBezTo>
                  <a:pt x="213" y="443"/>
                  <a:pt x="220" y="447"/>
                  <a:pt x="233" y="447"/>
                </a:cubicBezTo>
                <a:cubicBezTo>
                  <a:pt x="246" y="448"/>
                  <a:pt x="252" y="444"/>
                  <a:pt x="257" y="438"/>
                </a:cubicBezTo>
                <a:cubicBezTo>
                  <a:pt x="261" y="433"/>
                  <a:pt x="263" y="425"/>
                  <a:pt x="263" y="416"/>
                </a:cubicBezTo>
                <a:cubicBezTo>
                  <a:pt x="263" y="409"/>
                  <a:pt x="260" y="404"/>
                  <a:pt x="256" y="398"/>
                </a:cubicBezTo>
                <a:cubicBezTo>
                  <a:pt x="252" y="392"/>
                  <a:pt x="245" y="386"/>
                  <a:pt x="245" y="376"/>
                </a:cubicBezTo>
                <a:cubicBezTo>
                  <a:pt x="245" y="338"/>
                  <a:pt x="245" y="338"/>
                  <a:pt x="245" y="338"/>
                </a:cubicBezTo>
                <a:cubicBezTo>
                  <a:pt x="480" y="338"/>
                  <a:pt x="480" y="338"/>
                  <a:pt x="480" y="338"/>
                </a:cubicBezTo>
                <a:cubicBezTo>
                  <a:pt x="540" y="106"/>
                  <a:pt x="540" y="106"/>
                  <a:pt x="540" y="106"/>
                </a:cubicBezTo>
                <a:cubicBezTo>
                  <a:pt x="338" y="106"/>
                  <a:pt x="338" y="106"/>
                  <a:pt x="338" y="106"/>
                </a:cubicBezTo>
                <a:lnTo>
                  <a:pt x="338" y="72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3" name="Freeform 1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>
            <a:spLocks/>
          </xdr:cNvSpPr>
        </xdr:nvSpPr>
        <xdr:spPr bwMode="auto">
          <a:xfrm>
            <a:off x="2037" y="2368"/>
            <a:ext cx="850" cy="523"/>
          </a:xfrm>
          <a:custGeom>
            <a:avLst/>
            <a:gdLst>
              <a:gd name="T0" fmla="*/ 212 w 359"/>
              <a:gd name="T1" fmla="*/ 14 h 221"/>
              <a:gd name="T2" fmla="*/ 219 w 359"/>
              <a:gd name="T3" fmla="*/ 24 h 221"/>
              <a:gd name="T4" fmla="*/ 230 w 359"/>
              <a:gd name="T5" fmla="*/ 54 h 221"/>
              <a:gd name="T6" fmla="*/ 219 w 359"/>
              <a:gd name="T7" fmla="*/ 89 h 221"/>
              <a:gd name="T8" fmla="*/ 179 w 359"/>
              <a:gd name="T9" fmla="*/ 105 h 221"/>
              <a:gd name="T10" fmla="*/ 140 w 359"/>
              <a:gd name="T11" fmla="*/ 89 h 221"/>
              <a:gd name="T12" fmla="*/ 129 w 359"/>
              <a:gd name="T13" fmla="*/ 54 h 221"/>
              <a:gd name="T14" fmla="*/ 141 w 359"/>
              <a:gd name="T15" fmla="*/ 23 h 221"/>
              <a:gd name="T16" fmla="*/ 149 w 359"/>
              <a:gd name="T17" fmla="*/ 12 h 221"/>
              <a:gd name="T18" fmla="*/ 149 w 359"/>
              <a:gd name="T19" fmla="*/ 0 h 221"/>
              <a:gd name="T20" fmla="*/ 0 w 359"/>
              <a:gd name="T21" fmla="*/ 0 h 221"/>
              <a:gd name="T22" fmla="*/ 46 w 359"/>
              <a:gd name="T23" fmla="*/ 164 h 221"/>
              <a:gd name="T24" fmla="*/ 66 w 359"/>
              <a:gd name="T25" fmla="*/ 194 h 221"/>
              <a:gd name="T26" fmla="*/ 67 w 359"/>
              <a:gd name="T27" fmla="*/ 195 h 221"/>
              <a:gd name="T28" fmla="*/ 117 w 359"/>
              <a:gd name="T29" fmla="*/ 220 h 221"/>
              <a:gd name="T30" fmla="*/ 359 w 359"/>
              <a:gd name="T31" fmla="*/ 220 h 221"/>
              <a:gd name="T32" fmla="*/ 359 w 359"/>
              <a:gd name="T33" fmla="*/ 140 h 221"/>
              <a:gd name="T34" fmla="*/ 346 w 359"/>
              <a:gd name="T35" fmla="*/ 140 h 221"/>
              <a:gd name="T36" fmla="*/ 334 w 359"/>
              <a:gd name="T37" fmla="*/ 148 h 221"/>
              <a:gd name="T38" fmla="*/ 303 w 359"/>
              <a:gd name="T39" fmla="*/ 161 h 221"/>
              <a:gd name="T40" fmla="*/ 269 w 359"/>
              <a:gd name="T41" fmla="*/ 150 h 221"/>
              <a:gd name="T42" fmla="*/ 252 w 359"/>
              <a:gd name="T43" fmla="*/ 111 h 221"/>
              <a:gd name="T44" fmla="*/ 269 w 359"/>
              <a:gd name="T45" fmla="*/ 71 h 221"/>
              <a:gd name="T46" fmla="*/ 303 w 359"/>
              <a:gd name="T47" fmla="*/ 60 h 221"/>
              <a:gd name="T48" fmla="*/ 333 w 359"/>
              <a:gd name="T49" fmla="*/ 71 h 221"/>
              <a:gd name="T50" fmla="*/ 344 w 359"/>
              <a:gd name="T51" fmla="*/ 77 h 221"/>
              <a:gd name="T52" fmla="*/ 359 w 359"/>
              <a:gd name="T53" fmla="*/ 77 h 221"/>
              <a:gd name="T54" fmla="*/ 359 w 359"/>
              <a:gd name="T55" fmla="*/ 0 h 221"/>
              <a:gd name="T56" fmla="*/ 212 w 359"/>
              <a:gd name="T57" fmla="*/ 0 h 221"/>
              <a:gd name="T58" fmla="*/ 212 w 359"/>
              <a:gd name="T59" fmla="*/ 14 h 22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</a:cxnLst>
            <a:rect l="0" t="0" r="r" b="b"/>
            <a:pathLst>
              <a:path w="359" h="221">
                <a:moveTo>
                  <a:pt x="212" y="14"/>
                </a:moveTo>
                <a:cubicBezTo>
                  <a:pt x="212" y="16"/>
                  <a:pt x="213" y="16"/>
                  <a:pt x="219" y="24"/>
                </a:cubicBezTo>
                <a:cubicBezTo>
                  <a:pt x="224" y="31"/>
                  <a:pt x="230" y="41"/>
                  <a:pt x="230" y="54"/>
                </a:cubicBezTo>
                <a:cubicBezTo>
                  <a:pt x="230" y="66"/>
                  <a:pt x="228" y="78"/>
                  <a:pt x="219" y="89"/>
                </a:cubicBezTo>
                <a:cubicBezTo>
                  <a:pt x="211" y="99"/>
                  <a:pt x="196" y="106"/>
                  <a:pt x="179" y="105"/>
                </a:cubicBezTo>
                <a:cubicBezTo>
                  <a:pt x="162" y="105"/>
                  <a:pt x="148" y="98"/>
                  <a:pt x="140" y="89"/>
                </a:cubicBezTo>
                <a:cubicBezTo>
                  <a:pt x="131" y="78"/>
                  <a:pt x="129" y="66"/>
                  <a:pt x="129" y="54"/>
                </a:cubicBezTo>
                <a:cubicBezTo>
                  <a:pt x="129" y="41"/>
                  <a:pt x="136" y="30"/>
                  <a:pt x="141" y="23"/>
                </a:cubicBezTo>
                <a:cubicBezTo>
                  <a:pt x="148" y="16"/>
                  <a:pt x="149" y="14"/>
                  <a:pt x="149" y="12"/>
                </a:cubicBezTo>
                <a:cubicBezTo>
                  <a:pt x="149" y="0"/>
                  <a:pt x="149" y="0"/>
                  <a:pt x="149" y="0"/>
                </a:cubicBezTo>
                <a:cubicBezTo>
                  <a:pt x="0" y="0"/>
                  <a:pt x="0" y="0"/>
                  <a:pt x="0" y="0"/>
                </a:cubicBezTo>
                <a:cubicBezTo>
                  <a:pt x="46" y="164"/>
                  <a:pt x="46" y="164"/>
                  <a:pt x="46" y="164"/>
                </a:cubicBezTo>
                <a:cubicBezTo>
                  <a:pt x="50" y="176"/>
                  <a:pt x="57" y="186"/>
                  <a:pt x="66" y="194"/>
                </a:cubicBezTo>
                <a:cubicBezTo>
                  <a:pt x="66" y="194"/>
                  <a:pt x="67" y="195"/>
                  <a:pt x="67" y="195"/>
                </a:cubicBezTo>
                <a:cubicBezTo>
                  <a:pt x="78" y="211"/>
                  <a:pt x="98" y="221"/>
                  <a:pt x="117" y="220"/>
                </a:cubicBezTo>
                <a:cubicBezTo>
                  <a:pt x="359" y="220"/>
                  <a:pt x="359" y="220"/>
                  <a:pt x="359" y="220"/>
                </a:cubicBezTo>
                <a:cubicBezTo>
                  <a:pt x="359" y="140"/>
                  <a:pt x="359" y="140"/>
                  <a:pt x="359" y="140"/>
                </a:cubicBezTo>
                <a:cubicBezTo>
                  <a:pt x="346" y="140"/>
                  <a:pt x="346" y="140"/>
                  <a:pt x="346" y="140"/>
                </a:cubicBezTo>
                <a:cubicBezTo>
                  <a:pt x="344" y="141"/>
                  <a:pt x="342" y="142"/>
                  <a:pt x="334" y="148"/>
                </a:cubicBezTo>
                <a:cubicBezTo>
                  <a:pt x="328" y="154"/>
                  <a:pt x="317" y="161"/>
                  <a:pt x="303" y="161"/>
                </a:cubicBezTo>
                <a:cubicBezTo>
                  <a:pt x="292" y="161"/>
                  <a:pt x="279" y="158"/>
                  <a:pt x="269" y="150"/>
                </a:cubicBezTo>
                <a:cubicBezTo>
                  <a:pt x="259" y="142"/>
                  <a:pt x="252" y="127"/>
                  <a:pt x="252" y="111"/>
                </a:cubicBezTo>
                <a:cubicBezTo>
                  <a:pt x="252" y="94"/>
                  <a:pt x="259" y="78"/>
                  <a:pt x="269" y="71"/>
                </a:cubicBezTo>
                <a:cubicBezTo>
                  <a:pt x="279" y="62"/>
                  <a:pt x="292" y="60"/>
                  <a:pt x="303" y="60"/>
                </a:cubicBezTo>
                <a:cubicBezTo>
                  <a:pt x="316" y="60"/>
                  <a:pt x="327" y="66"/>
                  <a:pt x="333" y="71"/>
                </a:cubicBezTo>
                <a:cubicBezTo>
                  <a:pt x="341" y="77"/>
                  <a:pt x="342" y="77"/>
                  <a:pt x="344" y="77"/>
                </a:cubicBezTo>
                <a:cubicBezTo>
                  <a:pt x="359" y="77"/>
                  <a:pt x="359" y="77"/>
                  <a:pt x="359" y="77"/>
                </a:cubicBezTo>
                <a:cubicBezTo>
                  <a:pt x="359" y="0"/>
                  <a:pt x="359" y="0"/>
                  <a:pt x="359" y="0"/>
                </a:cubicBezTo>
                <a:cubicBezTo>
                  <a:pt x="212" y="0"/>
                  <a:pt x="212" y="0"/>
                  <a:pt x="212" y="0"/>
                </a:cubicBezTo>
                <a:lnTo>
                  <a:pt x="212" y="14"/>
                </a:lnTo>
                <a:close/>
              </a:path>
            </a:pathLst>
          </a:custGeom>
          <a:solidFill>
            <a:srgbClr val="00B05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4" name="Freeform 1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>
            <a:spLocks/>
          </xdr:cNvSpPr>
        </xdr:nvSpPr>
        <xdr:spPr bwMode="auto">
          <a:xfrm>
            <a:off x="2262" y="3336"/>
            <a:ext cx="251" cy="237"/>
          </a:xfrm>
          <a:custGeom>
            <a:avLst/>
            <a:gdLst>
              <a:gd name="T0" fmla="*/ 55 w 106"/>
              <a:gd name="T1" fmla="*/ 32 h 100"/>
              <a:gd name="T2" fmla="*/ 32 w 106"/>
              <a:gd name="T3" fmla="*/ 38 h 100"/>
              <a:gd name="T4" fmla="*/ 13 w 106"/>
              <a:gd name="T5" fmla="*/ 45 h 100"/>
              <a:gd name="T6" fmla="*/ 1 w 106"/>
              <a:gd name="T7" fmla="*/ 64 h 100"/>
              <a:gd name="T8" fmla="*/ 10 w 106"/>
              <a:gd name="T9" fmla="*/ 88 h 100"/>
              <a:gd name="T10" fmla="*/ 33 w 106"/>
              <a:gd name="T11" fmla="*/ 100 h 100"/>
              <a:gd name="T12" fmla="*/ 53 w 106"/>
              <a:gd name="T13" fmla="*/ 91 h 100"/>
              <a:gd name="T14" fmla="*/ 62 w 106"/>
              <a:gd name="T15" fmla="*/ 72 h 100"/>
              <a:gd name="T16" fmla="*/ 70 w 106"/>
              <a:gd name="T17" fmla="*/ 48 h 100"/>
              <a:gd name="T18" fmla="*/ 71 w 106"/>
              <a:gd name="T19" fmla="*/ 48 h 100"/>
              <a:gd name="T20" fmla="*/ 106 w 106"/>
              <a:gd name="T21" fmla="*/ 17 h 100"/>
              <a:gd name="T22" fmla="*/ 91 w 106"/>
              <a:gd name="T23" fmla="*/ 0 h 100"/>
              <a:gd name="T24" fmla="*/ 55 w 106"/>
              <a:gd name="T25" fmla="*/ 32 h 1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06" h="100">
                <a:moveTo>
                  <a:pt x="55" y="32"/>
                </a:moveTo>
                <a:cubicBezTo>
                  <a:pt x="48" y="38"/>
                  <a:pt x="39" y="38"/>
                  <a:pt x="32" y="38"/>
                </a:cubicBezTo>
                <a:cubicBezTo>
                  <a:pt x="25" y="39"/>
                  <a:pt x="18" y="40"/>
                  <a:pt x="13" y="45"/>
                </a:cubicBezTo>
                <a:cubicBezTo>
                  <a:pt x="7" y="50"/>
                  <a:pt x="2" y="57"/>
                  <a:pt x="1" y="64"/>
                </a:cubicBezTo>
                <a:cubicBezTo>
                  <a:pt x="0" y="71"/>
                  <a:pt x="1" y="79"/>
                  <a:pt x="10" y="88"/>
                </a:cubicBezTo>
                <a:cubicBezTo>
                  <a:pt x="18" y="98"/>
                  <a:pt x="26" y="100"/>
                  <a:pt x="33" y="100"/>
                </a:cubicBezTo>
                <a:cubicBezTo>
                  <a:pt x="40" y="100"/>
                  <a:pt x="47" y="96"/>
                  <a:pt x="53" y="91"/>
                </a:cubicBezTo>
                <a:cubicBezTo>
                  <a:pt x="59" y="86"/>
                  <a:pt x="61" y="80"/>
                  <a:pt x="62" y="72"/>
                </a:cubicBezTo>
                <a:cubicBezTo>
                  <a:pt x="63" y="65"/>
                  <a:pt x="64" y="56"/>
                  <a:pt x="70" y="48"/>
                </a:cubicBezTo>
                <a:cubicBezTo>
                  <a:pt x="71" y="48"/>
                  <a:pt x="71" y="48"/>
                  <a:pt x="71" y="48"/>
                </a:cubicBezTo>
                <a:cubicBezTo>
                  <a:pt x="106" y="17"/>
                  <a:pt x="106" y="17"/>
                  <a:pt x="106" y="17"/>
                </a:cubicBezTo>
                <a:cubicBezTo>
                  <a:pt x="91" y="0"/>
                  <a:pt x="91" y="0"/>
                  <a:pt x="91" y="0"/>
                </a:cubicBezTo>
                <a:lnTo>
                  <a:pt x="55" y="32"/>
                </a:lnTo>
                <a:close/>
              </a:path>
            </a:pathLst>
          </a:custGeom>
          <a:solidFill>
            <a:schemeClr val="accent1">
              <a:lumMod val="50000"/>
            </a:scheme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5" name="Freeform 1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/>
          </xdr:cNvSpPr>
        </xdr:nvSpPr>
        <xdr:spPr bwMode="auto">
          <a:xfrm>
            <a:off x="2681" y="2368"/>
            <a:ext cx="1266" cy="521"/>
          </a:xfrm>
          <a:custGeom>
            <a:avLst/>
            <a:gdLst>
              <a:gd name="T0" fmla="*/ 526 w 535"/>
              <a:gd name="T1" fmla="*/ 86 h 220"/>
              <a:gd name="T2" fmla="*/ 504 w 535"/>
              <a:gd name="T3" fmla="*/ 80 h 220"/>
              <a:gd name="T4" fmla="*/ 485 w 535"/>
              <a:gd name="T5" fmla="*/ 87 h 220"/>
              <a:gd name="T6" fmla="*/ 464 w 535"/>
              <a:gd name="T7" fmla="*/ 98 h 220"/>
              <a:gd name="T8" fmla="*/ 424 w 535"/>
              <a:gd name="T9" fmla="*/ 98 h 220"/>
              <a:gd name="T10" fmla="*/ 424 w 535"/>
              <a:gd name="T11" fmla="*/ 0 h 220"/>
              <a:gd name="T12" fmla="*/ 300 w 535"/>
              <a:gd name="T13" fmla="*/ 0 h 220"/>
              <a:gd name="T14" fmla="*/ 300 w 535"/>
              <a:gd name="T15" fmla="*/ 14 h 220"/>
              <a:gd name="T16" fmla="*/ 307 w 535"/>
              <a:gd name="T17" fmla="*/ 24 h 220"/>
              <a:gd name="T18" fmla="*/ 318 w 535"/>
              <a:gd name="T19" fmla="*/ 54 h 220"/>
              <a:gd name="T20" fmla="*/ 307 w 535"/>
              <a:gd name="T21" fmla="*/ 89 h 220"/>
              <a:gd name="T22" fmla="*/ 267 w 535"/>
              <a:gd name="T23" fmla="*/ 105 h 220"/>
              <a:gd name="T24" fmla="*/ 228 w 535"/>
              <a:gd name="T25" fmla="*/ 89 h 220"/>
              <a:gd name="T26" fmla="*/ 217 w 535"/>
              <a:gd name="T27" fmla="*/ 54 h 220"/>
              <a:gd name="T28" fmla="*/ 229 w 535"/>
              <a:gd name="T29" fmla="*/ 23 h 220"/>
              <a:gd name="T30" fmla="*/ 237 w 535"/>
              <a:gd name="T31" fmla="*/ 12 h 220"/>
              <a:gd name="T32" fmla="*/ 237 w 535"/>
              <a:gd name="T33" fmla="*/ 0 h 220"/>
              <a:gd name="T34" fmla="*/ 111 w 535"/>
              <a:gd name="T35" fmla="*/ 0 h 220"/>
              <a:gd name="T36" fmla="*/ 111 w 535"/>
              <a:gd name="T37" fmla="*/ 98 h 220"/>
              <a:gd name="T38" fmla="*/ 72 w 535"/>
              <a:gd name="T39" fmla="*/ 98 h 220"/>
              <a:gd name="T40" fmla="*/ 50 w 535"/>
              <a:gd name="T41" fmla="*/ 87 h 220"/>
              <a:gd name="T42" fmla="*/ 31 w 535"/>
              <a:gd name="T43" fmla="*/ 80 h 220"/>
              <a:gd name="T44" fmla="*/ 9 w 535"/>
              <a:gd name="T45" fmla="*/ 86 h 220"/>
              <a:gd name="T46" fmla="*/ 0 w 535"/>
              <a:gd name="T47" fmla="*/ 110 h 220"/>
              <a:gd name="T48" fmla="*/ 10 w 535"/>
              <a:gd name="T49" fmla="*/ 134 h 220"/>
              <a:gd name="T50" fmla="*/ 31 w 535"/>
              <a:gd name="T51" fmla="*/ 141 h 220"/>
              <a:gd name="T52" fmla="*/ 50 w 535"/>
              <a:gd name="T53" fmla="*/ 133 h 220"/>
              <a:gd name="T54" fmla="*/ 72 w 535"/>
              <a:gd name="T55" fmla="*/ 120 h 220"/>
              <a:gd name="T56" fmla="*/ 73 w 535"/>
              <a:gd name="T57" fmla="*/ 120 h 220"/>
              <a:gd name="T58" fmla="*/ 111 w 535"/>
              <a:gd name="T59" fmla="*/ 120 h 220"/>
              <a:gd name="T60" fmla="*/ 111 w 535"/>
              <a:gd name="T61" fmla="*/ 220 h 220"/>
              <a:gd name="T62" fmla="*/ 424 w 535"/>
              <a:gd name="T63" fmla="*/ 220 h 220"/>
              <a:gd name="T64" fmla="*/ 424 w 535"/>
              <a:gd name="T65" fmla="*/ 120 h 220"/>
              <a:gd name="T66" fmla="*/ 462 w 535"/>
              <a:gd name="T67" fmla="*/ 120 h 220"/>
              <a:gd name="T68" fmla="*/ 463 w 535"/>
              <a:gd name="T69" fmla="*/ 120 h 220"/>
              <a:gd name="T70" fmla="*/ 485 w 535"/>
              <a:gd name="T71" fmla="*/ 133 h 220"/>
              <a:gd name="T72" fmla="*/ 504 w 535"/>
              <a:gd name="T73" fmla="*/ 141 h 220"/>
              <a:gd name="T74" fmla="*/ 526 w 535"/>
              <a:gd name="T75" fmla="*/ 134 h 220"/>
              <a:gd name="T76" fmla="*/ 535 w 535"/>
              <a:gd name="T77" fmla="*/ 110 h 220"/>
              <a:gd name="T78" fmla="*/ 526 w 535"/>
              <a:gd name="T79" fmla="*/ 86 h 2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</a:cxnLst>
            <a:rect l="0" t="0" r="r" b="b"/>
            <a:pathLst>
              <a:path w="535" h="220">
                <a:moveTo>
                  <a:pt x="526" y="86"/>
                </a:moveTo>
                <a:cubicBezTo>
                  <a:pt x="520" y="82"/>
                  <a:pt x="512" y="80"/>
                  <a:pt x="504" y="80"/>
                </a:cubicBezTo>
                <a:cubicBezTo>
                  <a:pt x="497" y="80"/>
                  <a:pt x="491" y="83"/>
                  <a:pt x="485" y="87"/>
                </a:cubicBezTo>
                <a:cubicBezTo>
                  <a:pt x="480" y="91"/>
                  <a:pt x="473" y="98"/>
                  <a:pt x="464" y="98"/>
                </a:cubicBezTo>
                <a:cubicBezTo>
                  <a:pt x="424" y="98"/>
                  <a:pt x="424" y="98"/>
                  <a:pt x="424" y="98"/>
                </a:cubicBezTo>
                <a:cubicBezTo>
                  <a:pt x="424" y="0"/>
                  <a:pt x="424" y="0"/>
                  <a:pt x="424" y="0"/>
                </a:cubicBezTo>
                <a:cubicBezTo>
                  <a:pt x="300" y="0"/>
                  <a:pt x="300" y="0"/>
                  <a:pt x="300" y="0"/>
                </a:cubicBezTo>
                <a:cubicBezTo>
                  <a:pt x="300" y="14"/>
                  <a:pt x="300" y="14"/>
                  <a:pt x="300" y="14"/>
                </a:cubicBezTo>
                <a:cubicBezTo>
                  <a:pt x="300" y="16"/>
                  <a:pt x="301" y="16"/>
                  <a:pt x="307" y="24"/>
                </a:cubicBezTo>
                <a:cubicBezTo>
                  <a:pt x="312" y="31"/>
                  <a:pt x="318" y="41"/>
                  <a:pt x="318" y="54"/>
                </a:cubicBezTo>
                <a:cubicBezTo>
                  <a:pt x="318" y="66"/>
                  <a:pt x="316" y="78"/>
                  <a:pt x="307" y="89"/>
                </a:cubicBezTo>
                <a:cubicBezTo>
                  <a:pt x="299" y="99"/>
                  <a:pt x="284" y="106"/>
                  <a:pt x="267" y="105"/>
                </a:cubicBezTo>
                <a:cubicBezTo>
                  <a:pt x="250" y="105"/>
                  <a:pt x="236" y="98"/>
                  <a:pt x="228" y="89"/>
                </a:cubicBezTo>
                <a:cubicBezTo>
                  <a:pt x="219" y="78"/>
                  <a:pt x="217" y="66"/>
                  <a:pt x="217" y="54"/>
                </a:cubicBezTo>
                <a:cubicBezTo>
                  <a:pt x="217" y="41"/>
                  <a:pt x="224" y="30"/>
                  <a:pt x="229" y="23"/>
                </a:cubicBezTo>
                <a:cubicBezTo>
                  <a:pt x="236" y="16"/>
                  <a:pt x="237" y="14"/>
                  <a:pt x="237" y="12"/>
                </a:cubicBezTo>
                <a:cubicBezTo>
                  <a:pt x="237" y="0"/>
                  <a:pt x="237" y="0"/>
                  <a:pt x="237" y="0"/>
                </a:cubicBezTo>
                <a:cubicBezTo>
                  <a:pt x="111" y="0"/>
                  <a:pt x="111" y="0"/>
                  <a:pt x="111" y="0"/>
                </a:cubicBezTo>
                <a:cubicBezTo>
                  <a:pt x="111" y="98"/>
                  <a:pt x="111" y="98"/>
                  <a:pt x="111" y="98"/>
                </a:cubicBezTo>
                <a:cubicBezTo>
                  <a:pt x="72" y="98"/>
                  <a:pt x="72" y="98"/>
                  <a:pt x="72" y="98"/>
                </a:cubicBezTo>
                <a:cubicBezTo>
                  <a:pt x="62" y="98"/>
                  <a:pt x="56" y="91"/>
                  <a:pt x="50" y="87"/>
                </a:cubicBezTo>
                <a:cubicBezTo>
                  <a:pt x="44" y="83"/>
                  <a:pt x="39" y="80"/>
                  <a:pt x="31" y="80"/>
                </a:cubicBezTo>
                <a:cubicBezTo>
                  <a:pt x="23" y="80"/>
                  <a:pt x="15" y="82"/>
                  <a:pt x="9" y="86"/>
                </a:cubicBezTo>
                <a:cubicBezTo>
                  <a:pt x="4" y="91"/>
                  <a:pt x="0" y="97"/>
                  <a:pt x="0" y="110"/>
                </a:cubicBezTo>
                <a:cubicBezTo>
                  <a:pt x="0" y="123"/>
                  <a:pt x="4" y="130"/>
                  <a:pt x="10" y="134"/>
                </a:cubicBezTo>
                <a:cubicBezTo>
                  <a:pt x="15" y="139"/>
                  <a:pt x="23" y="141"/>
                  <a:pt x="31" y="141"/>
                </a:cubicBezTo>
                <a:cubicBezTo>
                  <a:pt x="39" y="141"/>
                  <a:pt x="44" y="138"/>
                  <a:pt x="50" y="133"/>
                </a:cubicBezTo>
                <a:cubicBezTo>
                  <a:pt x="56" y="128"/>
                  <a:pt x="62" y="121"/>
                  <a:pt x="72" y="120"/>
                </a:cubicBezTo>
                <a:cubicBezTo>
                  <a:pt x="73" y="120"/>
                  <a:pt x="73" y="120"/>
                  <a:pt x="73" y="120"/>
                </a:cubicBezTo>
                <a:cubicBezTo>
                  <a:pt x="111" y="120"/>
                  <a:pt x="111" y="120"/>
                  <a:pt x="111" y="120"/>
                </a:cubicBezTo>
                <a:cubicBezTo>
                  <a:pt x="111" y="220"/>
                  <a:pt x="111" y="220"/>
                  <a:pt x="111" y="220"/>
                </a:cubicBezTo>
                <a:cubicBezTo>
                  <a:pt x="424" y="220"/>
                  <a:pt x="424" y="220"/>
                  <a:pt x="424" y="220"/>
                </a:cubicBezTo>
                <a:cubicBezTo>
                  <a:pt x="424" y="120"/>
                  <a:pt x="424" y="120"/>
                  <a:pt x="424" y="120"/>
                </a:cubicBezTo>
                <a:cubicBezTo>
                  <a:pt x="462" y="120"/>
                  <a:pt x="462" y="120"/>
                  <a:pt x="462" y="120"/>
                </a:cubicBezTo>
                <a:cubicBezTo>
                  <a:pt x="463" y="120"/>
                  <a:pt x="463" y="120"/>
                  <a:pt x="463" y="120"/>
                </a:cubicBezTo>
                <a:cubicBezTo>
                  <a:pt x="473" y="121"/>
                  <a:pt x="479" y="128"/>
                  <a:pt x="485" y="133"/>
                </a:cubicBezTo>
                <a:cubicBezTo>
                  <a:pt x="491" y="138"/>
                  <a:pt x="496" y="141"/>
                  <a:pt x="504" y="141"/>
                </a:cubicBezTo>
                <a:cubicBezTo>
                  <a:pt x="513" y="141"/>
                  <a:pt x="520" y="139"/>
                  <a:pt x="526" y="134"/>
                </a:cubicBezTo>
                <a:cubicBezTo>
                  <a:pt x="531" y="130"/>
                  <a:pt x="535" y="123"/>
                  <a:pt x="535" y="110"/>
                </a:cubicBezTo>
                <a:cubicBezTo>
                  <a:pt x="535" y="97"/>
                  <a:pt x="531" y="91"/>
                  <a:pt x="526" y="86"/>
                </a:cubicBezTo>
                <a:close/>
              </a:path>
            </a:pathLst>
          </a:custGeom>
          <a:solidFill>
            <a:srgbClr val="00B05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6" name="Freeform 1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>
            <a:spLocks/>
          </xdr:cNvSpPr>
        </xdr:nvSpPr>
        <xdr:spPr bwMode="auto">
          <a:xfrm>
            <a:off x="4290" y="3336"/>
            <a:ext cx="250" cy="237"/>
          </a:xfrm>
          <a:custGeom>
            <a:avLst/>
            <a:gdLst>
              <a:gd name="T0" fmla="*/ 55 w 106"/>
              <a:gd name="T1" fmla="*/ 32 h 100"/>
              <a:gd name="T2" fmla="*/ 32 w 106"/>
              <a:gd name="T3" fmla="*/ 38 h 100"/>
              <a:gd name="T4" fmla="*/ 14 w 106"/>
              <a:gd name="T5" fmla="*/ 45 h 100"/>
              <a:gd name="T6" fmla="*/ 1 w 106"/>
              <a:gd name="T7" fmla="*/ 64 h 100"/>
              <a:gd name="T8" fmla="*/ 10 w 106"/>
              <a:gd name="T9" fmla="*/ 88 h 100"/>
              <a:gd name="T10" fmla="*/ 33 w 106"/>
              <a:gd name="T11" fmla="*/ 100 h 100"/>
              <a:gd name="T12" fmla="*/ 54 w 106"/>
              <a:gd name="T13" fmla="*/ 91 h 100"/>
              <a:gd name="T14" fmla="*/ 62 w 106"/>
              <a:gd name="T15" fmla="*/ 72 h 100"/>
              <a:gd name="T16" fmla="*/ 71 w 106"/>
              <a:gd name="T17" fmla="*/ 48 h 100"/>
              <a:gd name="T18" fmla="*/ 71 w 106"/>
              <a:gd name="T19" fmla="*/ 48 h 100"/>
              <a:gd name="T20" fmla="*/ 106 w 106"/>
              <a:gd name="T21" fmla="*/ 17 h 100"/>
              <a:gd name="T22" fmla="*/ 91 w 106"/>
              <a:gd name="T23" fmla="*/ 0 h 100"/>
              <a:gd name="T24" fmla="*/ 55 w 106"/>
              <a:gd name="T25" fmla="*/ 32 h 1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106" h="100">
                <a:moveTo>
                  <a:pt x="55" y="32"/>
                </a:moveTo>
                <a:cubicBezTo>
                  <a:pt x="48" y="38"/>
                  <a:pt x="39" y="38"/>
                  <a:pt x="32" y="38"/>
                </a:cubicBezTo>
                <a:cubicBezTo>
                  <a:pt x="25" y="39"/>
                  <a:pt x="19" y="40"/>
                  <a:pt x="14" y="45"/>
                </a:cubicBezTo>
                <a:cubicBezTo>
                  <a:pt x="7" y="50"/>
                  <a:pt x="2" y="57"/>
                  <a:pt x="1" y="64"/>
                </a:cubicBezTo>
                <a:cubicBezTo>
                  <a:pt x="0" y="71"/>
                  <a:pt x="2" y="79"/>
                  <a:pt x="10" y="88"/>
                </a:cubicBezTo>
                <a:cubicBezTo>
                  <a:pt x="19" y="98"/>
                  <a:pt x="26" y="100"/>
                  <a:pt x="33" y="100"/>
                </a:cubicBezTo>
                <a:cubicBezTo>
                  <a:pt x="40" y="100"/>
                  <a:pt x="47" y="96"/>
                  <a:pt x="54" y="91"/>
                </a:cubicBezTo>
                <a:cubicBezTo>
                  <a:pt x="59" y="86"/>
                  <a:pt x="61" y="80"/>
                  <a:pt x="62" y="72"/>
                </a:cubicBezTo>
                <a:cubicBezTo>
                  <a:pt x="64" y="65"/>
                  <a:pt x="64" y="56"/>
                  <a:pt x="71" y="48"/>
                </a:cubicBezTo>
                <a:cubicBezTo>
                  <a:pt x="71" y="48"/>
                  <a:pt x="71" y="48"/>
                  <a:pt x="71" y="48"/>
                </a:cubicBezTo>
                <a:cubicBezTo>
                  <a:pt x="106" y="17"/>
                  <a:pt x="106" y="17"/>
                  <a:pt x="106" y="17"/>
                </a:cubicBezTo>
                <a:cubicBezTo>
                  <a:pt x="91" y="0"/>
                  <a:pt x="91" y="0"/>
                  <a:pt x="91" y="0"/>
                </a:cubicBezTo>
                <a:lnTo>
                  <a:pt x="55" y="32"/>
                </a:lnTo>
                <a:close/>
              </a:path>
            </a:pathLst>
          </a:custGeom>
          <a:solidFill>
            <a:schemeClr val="accent1">
              <a:lumMod val="50000"/>
            </a:scheme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7" name="Freeform 1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3741" y="2368"/>
            <a:ext cx="1140" cy="521"/>
          </a:xfrm>
          <a:custGeom>
            <a:avLst/>
            <a:gdLst>
              <a:gd name="T0" fmla="*/ 273 w 482"/>
              <a:gd name="T1" fmla="*/ 14 h 220"/>
              <a:gd name="T2" fmla="*/ 280 w 482"/>
              <a:gd name="T3" fmla="*/ 24 h 220"/>
              <a:gd name="T4" fmla="*/ 291 w 482"/>
              <a:gd name="T5" fmla="*/ 54 h 220"/>
              <a:gd name="T6" fmla="*/ 280 w 482"/>
              <a:gd name="T7" fmla="*/ 89 h 220"/>
              <a:gd name="T8" fmla="*/ 240 w 482"/>
              <a:gd name="T9" fmla="*/ 105 h 220"/>
              <a:gd name="T10" fmla="*/ 201 w 482"/>
              <a:gd name="T11" fmla="*/ 89 h 220"/>
              <a:gd name="T12" fmla="*/ 190 w 482"/>
              <a:gd name="T13" fmla="*/ 54 h 220"/>
              <a:gd name="T14" fmla="*/ 202 w 482"/>
              <a:gd name="T15" fmla="*/ 23 h 220"/>
              <a:gd name="T16" fmla="*/ 210 w 482"/>
              <a:gd name="T17" fmla="*/ 12 h 220"/>
              <a:gd name="T18" fmla="*/ 210 w 482"/>
              <a:gd name="T19" fmla="*/ 0 h 220"/>
              <a:gd name="T20" fmla="*/ 0 w 482"/>
              <a:gd name="T21" fmla="*/ 0 h 220"/>
              <a:gd name="T22" fmla="*/ 0 w 482"/>
              <a:gd name="T23" fmla="*/ 77 h 220"/>
              <a:gd name="T24" fmla="*/ 16 w 482"/>
              <a:gd name="T25" fmla="*/ 77 h 220"/>
              <a:gd name="T26" fmla="*/ 26 w 482"/>
              <a:gd name="T27" fmla="*/ 71 h 220"/>
              <a:gd name="T28" fmla="*/ 56 w 482"/>
              <a:gd name="T29" fmla="*/ 60 h 220"/>
              <a:gd name="T30" fmla="*/ 90 w 482"/>
              <a:gd name="T31" fmla="*/ 71 h 220"/>
              <a:gd name="T32" fmla="*/ 107 w 482"/>
              <a:gd name="T33" fmla="*/ 111 h 220"/>
              <a:gd name="T34" fmla="*/ 90 w 482"/>
              <a:gd name="T35" fmla="*/ 150 h 220"/>
              <a:gd name="T36" fmla="*/ 56 w 482"/>
              <a:gd name="T37" fmla="*/ 161 h 220"/>
              <a:gd name="T38" fmla="*/ 25 w 482"/>
              <a:gd name="T39" fmla="*/ 148 h 220"/>
              <a:gd name="T40" fmla="*/ 13 w 482"/>
              <a:gd name="T41" fmla="*/ 140 h 220"/>
              <a:gd name="T42" fmla="*/ 0 w 482"/>
              <a:gd name="T43" fmla="*/ 140 h 220"/>
              <a:gd name="T44" fmla="*/ 0 w 482"/>
              <a:gd name="T45" fmla="*/ 220 h 220"/>
              <a:gd name="T46" fmla="*/ 377 w 482"/>
              <a:gd name="T47" fmla="*/ 220 h 220"/>
              <a:gd name="T48" fmla="*/ 436 w 482"/>
              <a:gd name="T49" fmla="*/ 178 h 220"/>
              <a:gd name="T50" fmla="*/ 482 w 482"/>
              <a:gd name="T51" fmla="*/ 0 h 220"/>
              <a:gd name="T52" fmla="*/ 273 w 482"/>
              <a:gd name="T53" fmla="*/ 0 h 220"/>
              <a:gd name="T54" fmla="*/ 273 w 482"/>
              <a:gd name="T55" fmla="*/ 14 h 2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</a:cxnLst>
            <a:rect l="0" t="0" r="r" b="b"/>
            <a:pathLst>
              <a:path w="482" h="220">
                <a:moveTo>
                  <a:pt x="273" y="14"/>
                </a:moveTo>
                <a:cubicBezTo>
                  <a:pt x="273" y="16"/>
                  <a:pt x="274" y="16"/>
                  <a:pt x="280" y="24"/>
                </a:cubicBezTo>
                <a:cubicBezTo>
                  <a:pt x="285" y="31"/>
                  <a:pt x="291" y="41"/>
                  <a:pt x="291" y="54"/>
                </a:cubicBezTo>
                <a:cubicBezTo>
                  <a:pt x="291" y="66"/>
                  <a:pt x="289" y="78"/>
                  <a:pt x="280" y="89"/>
                </a:cubicBezTo>
                <a:cubicBezTo>
                  <a:pt x="273" y="99"/>
                  <a:pt x="257" y="106"/>
                  <a:pt x="240" y="105"/>
                </a:cubicBezTo>
                <a:cubicBezTo>
                  <a:pt x="223" y="105"/>
                  <a:pt x="209" y="98"/>
                  <a:pt x="201" y="89"/>
                </a:cubicBezTo>
                <a:cubicBezTo>
                  <a:pt x="193" y="78"/>
                  <a:pt x="190" y="66"/>
                  <a:pt x="190" y="54"/>
                </a:cubicBezTo>
                <a:cubicBezTo>
                  <a:pt x="190" y="41"/>
                  <a:pt x="197" y="30"/>
                  <a:pt x="202" y="23"/>
                </a:cubicBezTo>
                <a:cubicBezTo>
                  <a:pt x="209" y="16"/>
                  <a:pt x="210" y="14"/>
                  <a:pt x="210" y="12"/>
                </a:cubicBezTo>
                <a:cubicBezTo>
                  <a:pt x="210" y="0"/>
                  <a:pt x="210" y="0"/>
                  <a:pt x="210" y="0"/>
                </a:cubicBezTo>
                <a:cubicBezTo>
                  <a:pt x="0" y="0"/>
                  <a:pt x="0" y="0"/>
                  <a:pt x="0" y="0"/>
                </a:cubicBezTo>
                <a:cubicBezTo>
                  <a:pt x="0" y="77"/>
                  <a:pt x="0" y="77"/>
                  <a:pt x="0" y="77"/>
                </a:cubicBezTo>
                <a:cubicBezTo>
                  <a:pt x="16" y="77"/>
                  <a:pt x="16" y="77"/>
                  <a:pt x="16" y="77"/>
                </a:cubicBezTo>
                <a:cubicBezTo>
                  <a:pt x="17" y="77"/>
                  <a:pt x="18" y="77"/>
                  <a:pt x="26" y="71"/>
                </a:cubicBezTo>
                <a:cubicBezTo>
                  <a:pt x="33" y="66"/>
                  <a:pt x="43" y="60"/>
                  <a:pt x="56" y="60"/>
                </a:cubicBezTo>
                <a:cubicBezTo>
                  <a:pt x="67" y="60"/>
                  <a:pt x="80" y="62"/>
                  <a:pt x="90" y="71"/>
                </a:cubicBezTo>
                <a:cubicBezTo>
                  <a:pt x="100" y="78"/>
                  <a:pt x="107" y="94"/>
                  <a:pt x="107" y="111"/>
                </a:cubicBezTo>
                <a:cubicBezTo>
                  <a:pt x="107" y="127"/>
                  <a:pt x="100" y="142"/>
                  <a:pt x="90" y="150"/>
                </a:cubicBezTo>
                <a:cubicBezTo>
                  <a:pt x="80" y="158"/>
                  <a:pt x="68" y="161"/>
                  <a:pt x="56" y="161"/>
                </a:cubicBezTo>
                <a:cubicBezTo>
                  <a:pt x="42" y="161"/>
                  <a:pt x="32" y="154"/>
                  <a:pt x="25" y="148"/>
                </a:cubicBezTo>
                <a:cubicBezTo>
                  <a:pt x="17" y="142"/>
                  <a:pt x="15" y="141"/>
                  <a:pt x="13" y="140"/>
                </a:cubicBezTo>
                <a:cubicBezTo>
                  <a:pt x="0" y="140"/>
                  <a:pt x="0" y="140"/>
                  <a:pt x="0" y="140"/>
                </a:cubicBezTo>
                <a:cubicBezTo>
                  <a:pt x="0" y="220"/>
                  <a:pt x="0" y="220"/>
                  <a:pt x="0" y="220"/>
                </a:cubicBezTo>
                <a:cubicBezTo>
                  <a:pt x="377" y="220"/>
                  <a:pt x="377" y="220"/>
                  <a:pt x="377" y="220"/>
                </a:cubicBezTo>
                <a:cubicBezTo>
                  <a:pt x="403" y="220"/>
                  <a:pt x="428" y="203"/>
                  <a:pt x="436" y="178"/>
                </a:cubicBezTo>
                <a:cubicBezTo>
                  <a:pt x="482" y="0"/>
                  <a:pt x="482" y="0"/>
                  <a:pt x="482" y="0"/>
                </a:cubicBezTo>
                <a:cubicBezTo>
                  <a:pt x="273" y="0"/>
                  <a:pt x="273" y="0"/>
                  <a:pt x="273" y="0"/>
                </a:cubicBezTo>
                <a:lnTo>
                  <a:pt x="273" y="14"/>
                </a:lnTo>
                <a:close/>
              </a:path>
            </a:pathLst>
          </a:custGeom>
          <a:solidFill>
            <a:srgbClr val="00B05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8" name="Freeform 1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>
            <a:spLocks noEditPoints="1"/>
          </xdr:cNvSpPr>
        </xdr:nvSpPr>
        <xdr:spPr bwMode="auto">
          <a:xfrm>
            <a:off x="1905" y="2972"/>
            <a:ext cx="965" cy="966"/>
          </a:xfrm>
          <a:custGeom>
            <a:avLst/>
            <a:gdLst>
              <a:gd name="T0" fmla="*/ 204 w 408"/>
              <a:gd name="T1" fmla="*/ 0 h 408"/>
              <a:gd name="T2" fmla="*/ 0 w 408"/>
              <a:gd name="T3" fmla="*/ 204 h 408"/>
              <a:gd name="T4" fmla="*/ 204 w 408"/>
              <a:gd name="T5" fmla="*/ 408 h 408"/>
              <a:gd name="T6" fmla="*/ 408 w 408"/>
              <a:gd name="T7" fmla="*/ 204 h 408"/>
              <a:gd name="T8" fmla="*/ 204 w 408"/>
              <a:gd name="T9" fmla="*/ 0 h 408"/>
              <a:gd name="T10" fmla="*/ 270 w 408"/>
              <a:gd name="T11" fmla="*/ 186 h 408"/>
              <a:gd name="T12" fmla="*/ 270 w 408"/>
              <a:gd name="T13" fmla="*/ 186 h 408"/>
              <a:gd name="T14" fmla="*/ 236 w 408"/>
              <a:gd name="T15" fmla="*/ 216 h 408"/>
              <a:gd name="T16" fmla="*/ 233 w 408"/>
              <a:gd name="T17" fmla="*/ 230 h 408"/>
              <a:gd name="T18" fmla="*/ 218 w 408"/>
              <a:gd name="T19" fmla="*/ 260 h 408"/>
              <a:gd name="T20" fmla="*/ 184 w 408"/>
              <a:gd name="T21" fmla="*/ 274 h 408"/>
              <a:gd name="T22" fmla="*/ 146 w 408"/>
              <a:gd name="T23" fmla="*/ 256 h 408"/>
              <a:gd name="T24" fmla="*/ 132 w 408"/>
              <a:gd name="T25" fmla="*/ 215 h 408"/>
              <a:gd name="T26" fmla="*/ 151 w 408"/>
              <a:gd name="T27" fmla="*/ 184 h 408"/>
              <a:gd name="T28" fmla="*/ 181 w 408"/>
              <a:gd name="T29" fmla="*/ 172 h 408"/>
              <a:gd name="T30" fmla="*/ 193 w 408"/>
              <a:gd name="T31" fmla="*/ 171 h 408"/>
              <a:gd name="T32" fmla="*/ 228 w 408"/>
              <a:gd name="T33" fmla="*/ 139 h 408"/>
              <a:gd name="T34" fmla="*/ 241 w 408"/>
              <a:gd name="T35" fmla="*/ 134 h 408"/>
              <a:gd name="T36" fmla="*/ 257 w 408"/>
              <a:gd name="T37" fmla="*/ 141 h 408"/>
              <a:gd name="T38" fmla="*/ 272 w 408"/>
              <a:gd name="T39" fmla="*/ 158 h 408"/>
              <a:gd name="T40" fmla="*/ 270 w 408"/>
              <a:gd name="T41" fmla="*/ 186 h 4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408" h="408">
                <a:moveTo>
                  <a:pt x="204" y="0"/>
                </a:moveTo>
                <a:cubicBezTo>
                  <a:pt x="92" y="0"/>
                  <a:pt x="0" y="92"/>
                  <a:pt x="0" y="204"/>
                </a:cubicBezTo>
                <a:cubicBezTo>
                  <a:pt x="0" y="317"/>
                  <a:pt x="92" y="408"/>
                  <a:pt x="204" y="408"/>
                </a:cubicBezTo>
                <a:cubicBezTo>
                  <a:pt x="317" y="408"/>
                  <a:pt x="408" y="317"/>
                  <a:pt x="408" y="204"/>
                </a:cubicBezTo>
                <a:cubicBezTo>
                  <a:pt x="408" y="92"/>
                  <a:pt x="317" y="0"/>
                  <a:pt x="204" y="0"/>
                </a:cubicBezTo>
                <a:close/>
                <a:moveTo>
                  <a:pt x="270" y="186"/>
                </a:moveTo>
                <a:cubicBezTo>
                  <a:pt x="270" y="186"/>
                  <a:pt x="270" y="186"/>
                  <a:pt x="270" y="186"/>
                </a:cubicBezTo>
                <a:cubicBezTo>
                  <a:pt x="236" y="216"/>
                  <a:pt x="236" y="216"/>
                  <a:pt x="236" y="216"/>
                </a:cubicBezTo>
                <a:cubicBezTo>
                  <a:pt x="235" y="218"/>
                  <a:pt x="234" y="220"/>
                  <a:pt x="233" y="230"/>
                </a:cubicBezTo>
                <a:cubicBezTo>
                  <a:pt x="231" y="238"/>
                  <a:pt x="228" y="251"/>
                  <a:pt x="218" y="260"/>
                </a:cubicBezTo>
                <a:cubicBezTo>
                  <a:pt x="209" y="267"/>
                  <a:pt x="198" y="274"/>
                  <a:pt x="184" y="274"/>
                </a:cubicBezTo>
                <a:cubicBezTo>
                  <a:pt x="172" y="275"/>
                  <a:pt x="157" y="268"/>
                  <a:pt x="146" y="256"/>
                </a:cubicBezTo>
                <a:cubicBezTo>
                  <a:pt x="135" y="243"/>
                  <a:pt x="130" y="227"/>
                  <a:pt x="132" y="215"/>
                </a:cubicBezTo>
                <a:cubicBezTo>
                  <a:pt x="134" y="201"/>
                  <a:pt x="142" y="191"/>
                  <a:pt x="151" y="184"/>
                </a:cubicBezTo>
                <a:cubicBezTo>
                  <a:pt x="161" y="175"/>
                  <a:pt x="172" y="173"/>
                  <a:pt x="181" y="172"/>
                </a:cubicBezTo>
                <a:cubicBezTo>
                  <a:pt x="190" y="171"/>
                  <a:pt x="192" y="172"/>
                  <a:pt x="193" y="171"/>
                </a:cubicBezTo>
                <a:cubicBezTo>
                  <a:pt x="228" y="139"/>
                  <a:pt x="228" y="139"/>
                  <a:pt x="228" y="139"/>
                </a:cubicBezTo>
                <a:cubicBezTo>
                  <a:pt x="232" y="136"/>
                  <a:pt x="236" y="134"/>
                  <a:pt x="241" y="134"/>
                </a:cubicBezTo>
                <a:cubicBezTo>
                  <a:pt x="247" y="134"/>
                  <a:pt x="253" y="136"/>
                  <a:pt x="257" y="141"/>
                </a:cubicBezTo>
                <a:cubicBezTo>
                  <a:pt x="272" y="158"/>
                  <a:pt x="272" y="158"/>
                  <a:pt x="272" y="158"/>
                </a:cubicBezTo>
                <a:cubicBezTo>
                  <a:pt x="279" y="166"/>
                  <a:pt x="278" y="179"/>
                  <a:pt x="270" y="186"/>
                </a:cubicBezTo>
                <a:close/>
              </a:path>
            </a:pathLst>
          </a:custGeom>
          <a:solidFill>
            <a:schemeClr val="accent1">
              <a:lumMod val="50000"/>
            </a:scheme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9" name="Freeform 1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>
            <a:spLocks noEditPoints="1"/>
          </xdr:cNvSpPr>
        </xdr:nvSpPr>
        <xdr:spPr bwMode="auto">
          <a:xfrm>
            <a:off x="3935" y="2972"/>
            <a:ext cx="963" cy="966"/>
          </a:xfrm>
          <a:custGeom>
            <a:avLst/>
            <a:gdLst>
              <a:gd name="T0" fmla="*/ 204 w 407"/>
              <a:gd name="T1" fmla="*/ 0 h 408"/>
              <a:gd name="T2" fmla="*/ 0 w 407"/>
              <a:gd name="T3" fmla="*/ 204 h 408"/>
              <a:gd name="T4" fmla="*/ 204 w 407"/>
              <a:gd name="T5" fmla="*/ 408 h 408"/>
              <a:gd name="T6" fmla="*/ 407 w 407"/>
              <a:gd name="T7" fmla="*/ 204 h 408"/>
              <a:gd name="T8" fmla="*/ 204 w 407"/>
              <a:gd name="T9" fmla="*/ 0 h 408"/>
              <a:gd name="T10" fmla="*/ 269 w 407"/>
              <a:gd name="T11" fmla="*/ 186 h 408"/>
              <a:gd name="T12" fmla="*/ 269 w 407"/>
              <a:gd name="T13" fmla="*/ 186 h 408"/>
              <a:gd name="T14" fmla="*/ 235 w 407"/>
              <a:gd name="T15" fmla="*/ 216 h 408"/>
              <a:gd name="T16" fmla="*/ 232 w 407"/>
              <a:gd name="T17" fmla="*/ 230 h 408"/>
              <a:gd name="T18" fmla="*/ 217 w 407"/>
              <a:gd name="T19" fmla="*/ 260 h 408"/>
              <a:gd name="T20" fmla="*/ 184 w 407"/>
              <a:gd name="T21" fmla="*/ 274 h 408"/>
              <a:gd name="T22" fmla="*/ 145 w 407"/>
              <a:gd name="T23" fmla="*/ 256 h 408"/>
              <a:gd name="T24" fmla="*/ 131 w 407"/>
              <a:gd name="T25" fmla="*/ 215 h 408"/>
              <a:gd name="T26" fmla="*/ 150 w 407"/>
              <a:gd name="T27" fmla="*/ 184 h 408"/>
              <a:gd name="T28" fmla="*/ 180 w 407"/>
              <a:gd name="T29" fmla="*/ 172 h 408"/>
              <a:gd name="T30" fmla="*/ 192 w 407"/>
              <a:gd name="T31" fmla="*/ 171 h 408"/>
              <a:gd name="T32" fmla="*/ 228 w 407"/>
              <a:gd name="T33" fmla="*/ 139 h 408"/>
              <a:gd name="T34" fmla="*/ 240 w 407"/>
              <a:gd name="T35" fmla="*/ 134 h 408"/>
              <a:gd name="T36" fmla="*/ 256 w 407"/>
              <a:gd name="T37" fmla="*/ 141 h 408"/>
              <a:gd name="T38" fmla="*/ 271 w 407"/>
              <a:gd name="T39" fmla="*/ 158 h 408"/>
              <a:gd name="T40" fmla="*/ 269 w 407"/>
              <a:gd name="T41" fmla="*/ 186 h 4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407" h="408">
                <a:moveTo>
                  <a:pt x="204" y="0"/>
                </a:moveTo>
                <a:cubicBezTo>
                  <a:pt x="91" y="0"/>
                  <a:pt x="0" y="92"/>
                  <a:pt x="0" y="204"/>
                </a:cubicBezTo>
                <a:cubicBezTo>
                  <a:pt x="0" y="317"/>
                  <a:pt x="91" y="408"/>
                  <a:pt x="204" y="408"/>
                </a:cubicBezTo>
                <a:cubicBezTo>
                  <a:pt x="316" y="408"/>
                  <a:pt x="407" y="317"/>
                  <a:pt x="407" y="204"/>
                </a:cubicBezTo>
                <a:cubicBezTo>
                  <a:pt x="407" y="92"/>
                  <a:pt x="316" y="0"/>
                  <a:pt x="204" y="0"/>
                </a:cubicBezTo>
                <a:close/>
                <a:moveTo>
                  <a:pt x="269" y="186"/>
                </a:moveTo>
                <a:cubicBezTo>
                  <a:pt x="269" y="186"/>
                  <a:pt x="269" y="186"/>
                  <a:pt x="269" y="186"/>
                </a:cubicBezTo>
                <a:cubicBezTo>
                  <a:pt x="235" y="216"/>
                  <a:pt x="235" y="216"/>
                  <a:pt x="235" y="216"/>
                </a:cubicBezTo>
                <a:cubicBezTo>
                  <a:pt x="234" y="218"/>
                  <a:pt x="234" y="220"/>
                  <a:pt x="232" y="230"/>
                </a:cubicBezTo>
                <a:cubicBezTo>
                  <a:pt x="231" y="238"/>
                  <a:pt x="227" y="251"/>
                  <a:pt x="217" y="260"/>
                </a:cubicBezTo>
                <a:cubicBezTo>
                  <a:pt x="208" y="267"/>
                  <a:pt x="197" y="274"/>
                  <a:pt x="184" y="274"/>
                </a:cubicBezTo>
                <a:cubicBezTo>
                  <a:pt x="171" y="275"/>
                  <a:pt x="157" y="268"/>
                  <a:pt x="145" y="256"/>
                </a:cubicBezTo>
                <a:cubicBezTo>
                  <a:pt x="134" y="243"/>
                  <a:pt x="129" y="227"/>
                  <a:pt x="131" y="215"/>
                </a:cubicBezTo>
                <a:cubicBezTo>
                  <a:pt x="134" y="201"/>
                  <a:pt x="142" y="191"/>
                  <a:pt x="150" y="184"/>
                </a:cubicBezTo>
                <a:cubicBezTo>
                  <a:pt x="160" y="175"/>
                  <a:pt x="172" y="173"/>
                  <a:pt x="180" y="172"/>
                </a:cubicBezTo>
                <a:cubicBezTo>
                  <a:pt x="190" y="171"/>
                  <a:pt x="191" y="172"/>
                  <a:pt x="192" y="171"/>
                </a:cubicBezTo>
                <a:cubicBezTo>
                  <a:pt x="228" y="139"/>
                  <a:pt x="228" y="139"/>
                  <a:pt x="228" y="139"/>
                </a:cubicBezTo>
                <a:cubicBezTo>
                  <a:pt x="231" y="136"/>
                  <a:pt x="235" y="134"/>
                  <a:pt x="240" y="134"/>
                </a:cubicBezTo>
                <a:cubicBezTo>
                  <a:pt x="246" y="134"/>
                  <a:pt x="252" y="136"/>
                  <a:pt x="256" y="141"/>
                </a:cubicBezTo>
                <a:cubicBezTo>
                  <a:pt x="271" y="158"/>
                  <a:pt x="271" y="158"/>
                  <a:pt x="271" y="158"/>
                </a:cubicBezTo>
                <a:cubicBezTo>
                  <a:pt x="278" y="167"/>
                  <a:pt x="278" y="179"/>
                  <a:pt x="269" y="186"/>
                </a:cubicBezTo>
                <a:close/>
              </a:path>
            </a:pathLst>
          </a:custGeom>
          <a:solidFill>
            <a:schemeClr val="accent1">
              <a:lumMod val="50000"/>
            </a:scheme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538270</xdr:colOff>
          <xdr:row>27</xdr:row>
          <xdr:rowOff>84389</xdr:rowOff>
        </xdr:from>
        <xdr:to>
          <xdr:col>9</xdr:col>
          <xdr:colOff>631923</xdr:colOff>
          <xdr:row>28</xdr:row>
          <xdr:rowOff>189118</xdr:rowOff>
        </xdr:to>
        <xdr:pic>
          <xdr:nvPicPr>
            <xdr:cNvPr id="64" name="Imagem 63">
              <a:extLst>
                <a:ext uri="{FF2B5EF4-FFF2-40B4-BE49-F238E27FC236}">
                  <a16:creationId xmlns:a16="http://schemas.microsoft.com/office/drawing/2014/main" id="{00000000-0008-0000-0100-00004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poio Graf'!$C$28" spid="_x0000_s1805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053620" y="8256839"/>
              <a:ext cx="1312853" cy="44762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1172164</xdr:colOff>
          <xdr:row>27</xdr:row>
          <xdr:rowOff>111534</xdr:rowOff>
        </xdr:from>
        <xdr:to>
          <xdr:col>12</xdr:col>
          <xdr:colOff>1160100</xdr:colOff>
          <xdr:row>28</xdr:row>
          <xdr:rowOff>219121</xdr:rowOff>
        </xdr:to>
        <xdr:pic>
          <xdr:nvPicPr>
            <xdr:cNvPr id="65" name="Imagem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poio Graf'!$C$27" spid="_x0000_s1805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2945064" y="8283984"/>
              <a:ext cx="1321436" cy="45048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361949</xdr:colOff>
          <xdr:row>28</xdr:row>
          <xdr:rowOff>50940</xdr:rowOff>
        </xdr:from>
        <xdr:to>
          <xdr:col>3</xdr:col>
          <xdr:colOff>762000</xdr:colOff>
          <xdr:row>32</xdr:row>
          <xdr:rowOff>323850</xdr:rowOff>
        </xdr:to>
        <xdr:pic>
          <xdr:nvPicPr>
            <xdr:cNvPr id="66" name="Imagem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poio Graf'!$C$30" spid="_x0000_s18056"/>
                </a:ext>
              </a:extLst>
            </xdr:cNvPicPr>
          </xdr:nvPicPr>
          <xdr:blipFill rotWithShape="1">
            <a:blip xmlns:r="http://schemas.openxmlformats.org/officeDocument/2006/relationships" r:embed="rId8"/>
            <a:srcRect l="7686" r="5571"/>
            <a:stretch>
              <a:fillRect/>
            </a:stretch>
          </xdr:blipFill>
          <xdr:spPr bwMode="auto">
            <a:xfrm>
              <a:off x="533399" y="8566290"/>
              <a:ext cx="4152901" cy="16445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</xdr:col>
      <xdr:colOff>1562100</xdr:colOff>
      <xdr:row>0</xdr:row>
      <xdr:rowOff>204108</xdr:rowOff>
    </xdr:from>
    <xdr:to>
      <xdr:col>3</xdr:col>
      <xdr:colOff>1088572</xdr:colOff>
      <xdr:row>0</xdr:row>
      <xdr:rowOff>688740</xdr:rowOff>
    </xdr:to>
    <xdr:sp macro="" textlink="">
      <xdr:nvSpPr>
        <xdr:cNvPr id="7" name="Seta: Entalhada para a Direita 6">
          <a:extLst>
            <a:ext uri="{FF2B5EF4-FFF2-40B4-BE49-F238E27FC236}">
              <a16:creationId xmlns:a16="http://schemas.microsoft.com/office/drawing/2014/main" id="{A5242E35-B332-4100-BAE1-A759C1D19501}"/>
            </a:ext>
          </a:extLst>
        </xdr:cNvPr>
        <xdr:cNvSpPr/>
      </xdr:nvSpPr>
      <xdr:spPr>
        <a:xfrm>
          <a:off x="3124200" y="204108"/>
          <a:ext cx="1888672" cy="484632"/>
        </a:xfrm>
        <a:prstGeom prst="notchedRightArrow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81642</xdr:colOff>
      <xdr:row>0</xdr:row>
      <xdr:rowOff>68035</xdr:rowOff>
    </xdr:from>
    <xdr:ext cx="2928258" cy="785087"/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EE08306F-ADA6-4EFD-80CA-613147D561F2}"/>
            </a:ext>
          </a:extLst>
        </xdr:cNvPr>
        <xdr:cNvSpPr txBox="1"/>
      </xdr:nvSpPr>
      <xdr:spPr>
        <a:xfrm>
          <a:off x="81642" y="68035"/>
          <a:ext cx="2928258" cy="7850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1">
              <a:solidFill>
                <a:srgbClr val="00B0F0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CLIQUE</a:t>
          </a:r>
          <a:r>
            <a:rPr lang="pt-BR" sz="2000" b="1" baseline="0">
              <a:solidFill>
                <a:srgbClr val="00B0F0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 NO BOTÃO PARA INICIAR</a:t>
          </a:r>
          <a:endParaRPr lang="pt-BR" sz="2000" b="1">
            <a:solidFill>
              <a:srgbClr val="00B0F0"/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oneCellAnchor>
  <xdr:twoCellAnchor>
    <xdr:from>
      <xdr:col>10</xdr:col>
      <xdr:colOff>326570</xdr:colOff>
      <xdr:row>28</xdr:row>
      <xdr:rowOff>57150</xdr:rowOff>
    </xdr:from>
    <xdr:to>
      <xdr:col>14</xdr:col>
      <xdr:colOff>816427</xdr:colOff>
      <xdr:row>32</xdr:row>
      <xdr:rowOff>334063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0B9BAA83-FEA1-4998-A74F-8EC4EF999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52797</xdr:colOff>
      <xdr:row>26</xdr:row>
      <xdr:rowOff>189078</xdr:rowOff>
    </xdr:from>
    <xdr:to>
      <xdr:col>14</xdr:col>
      <xdr:colOff>598931</xdr:colOff>
      <xdr:row>28</xdr:row>
      <xdr:rowOff>59346</xdr:rowOff>
    </xdr:to>
    <xdr:grpSp>
      <xdr:nvGrpSpPr>
        <xdr:cNvPr id="43" name="Group 35">
          <a:extLst>
            <a:ext uri="{FF2B5EF4-FFF2-40B4-BE49-F238E27FC236}">
              <a16:creationId xmlns:a16="http://schemas.microsoft.com/office/drawing/2014/main" id="{F08FE599-EFA1-43FC-B17A-03758A1122B7}"/>
            </a:ext>
          </a:extLst>
        </xdr:cNvPr>
        <xdr:cNvGrpSpPr/>
      </xdr:nvGrpSpPr>
      <xdr:grpSpPr>
        <a:xfrm>
          <a:off x="15407097" y="8018628"/>
          <a:ext cx="546134" cy="556068"/>
          <a:chOff x="2687638" y="5386388"/>
          <a:chExt cx="1050925" cy="1204912"/>
        </a:xfrm>
        <a:solidFill>
          <a:srgbClr val="00B050"/>
        </a:solidFill>
      </xdr:grpSpPr>
      <xdr:sp macro="" textlink="">
        <xdr:nvSpPr>
          <xdr:cNvPr id="45" name="Freeform 36">
            <a:extLst>
              <a:ext uri="{FF2B5EF4-FFF2-40B4-BE49-F238E27FC236}">
                <a16:creationId xmlns:a16="http://schemas.microsoft.com/office/drawing/2014/main" id="{AB7B5B20-0B25-4E57-AE11-D7C02D434C31}"/>
              </a:ext>
            </a:extLst>
          </xdr:cNvPr>
          <xdr:cNvSpPr>
            <a:spLocks noEditPoints="1"/>
          </xdr:cNvSpPr>
        </xdr:nvSpPr>
        <xdr:spPr bwMode="auto">
          <a:xfrm>
            <a:off x="2687638" y="5386388"/>
            <a:ext cx="1050925" cy="1204912"/>
          </a:xfrm>
          <a:custGeom>
            <a:avLst/>
            <a:gdLst>
              <a:gd name="T0" fmla="*/ 523 w 577"/>
              <a:gd name="T1" fmla="*/ 296 h 662"/>
              <a:gd name="T2" fmla="*/ 378 w 577"/>
              <a:gd name="T3" fmla="*/ 218 h 662"/>
              <a:gd name="T4" fmla="*/ 372 w 577"/>
              <a:gd name="T5" fmla="*/ 295 h 662"/>
              <a:gd name="T6" fmla="*/ 305 w 577"/>
              <a:gd name="T7" fmla="*/ 0 h 662"/>
              <a:gd name="T8" fmla="*/ 21 w 577"/>
              <a:gd name="T9" fmla="*/ 295 h 662"/>
              <a:gd name="T10" fmla="*/ 58 w 577"/>
              <a:gd name="T11" fmla="*/ 595 h 662"/>
              <a:gd name="T12" fmla="*/ 311 w 577"/>
              <a:gd name="T13" fmla="*/ 638 h 662"/>
              <a:gd name="T14" fmla="*/ 523 w 577"/>
              <a:gd name="T15" fmla="*/ 606 h 662"/>
              <a:gd name="T16" fmla="*/ 243 w 577"/>
              <a:gd name="T17" fmla="*/ 406 h 662"/>
              <a:gd name="T18" fmla="*/ 242 w 577"/>
              <a:gd name="T19" fmla="*/ 382 h 662"/>
              <a:gd name="T20" fmla="*/ 55 w 577"/>
              <a:gd name="T21" fmla="*/ 578 h 662"/>
              <a:gd name="T22" fmla="*/ 243 w 577"/>
              <a:gd name="T23" fmla="*/ 380 h 662"/>
              <a:gd name="T24" fmla="*/ 494 w 577"/>
              <a:gd name="T25" fmla="*/ 526 h 662"/>
              <a:gd name="T26" fmla="*/ 498 w 577"/>
              <a:gd name="T27" fmla="*/ 496 h 662"/>
              <a:gd name="T28" fmla="*/ 327 w 577"/>
              <a:gd name="T29" fmla="*/ 554 h 662"/>
              <a:gd name="T30" fmla="*/ 351 w 577"/>
              <a:gd name="T31" fmla="*/ 560 h 662"/>
              <a:gd name="T32" fmla="*/ 440 w 577"/>
              <a:gd name="T33" fmla="*/ 464 h 662"/>
              <a:gd name="T34" fmla="*/ 440 w 577"/>
              <a:gd name="T35" fmla="*/ 481 h 662"/>
              <a:gd name="T36" fmla="*/ 327 w 577"/>
              <a:gd name="T37" fmla="*/ 509 h 662"/>
              <a:gd name="T38" fmla="*/ 456 w 577"/>
              <a:gd name="T39" fmla="*/ 475 h 662"/>
              <a:gd name="T40" fmla="*/ 507 w 577"/>
              <a:gd name="T41" fmla="*/ 476 h 662"/>
              <a:gd name="T42" fmla="*/ 456 w 577"/>
              <a:gd name="T43" fmla="*/ 421 h 662"/>
              <a:gd name="T44" fmla="*/ 494 w 577"/>
              <a:gd name="T45" fmla="*/ 391 h 662"/>
              <a:gd name="T46" fmla="*/ 507 w 577"/>
              <a:gd name="T47" fmla="*/ 359 h 662"/>
              <a:gd name="T48" fmla="*/ 394 w 577"/>
              <a:gd name="T49" fmla="*/ 341 h 662"/>
              <a:gd name="T50" fmla="*/ 394 w 577"/>
              <a:gd name="T51" fmla="*/ 233 h 662"/>
              <a:gd name="T52" fmla="*/ 507 w 577"/>
              <a:gd name="T53" fmla="*/ 269 h 662"/>
              <a:gd name="T54" fmla="*/ 254 w 577"/>
              <a:gd name="T55" fmla="*/ 339 h 662"/>
              <a:gd name="T56" fmla="*/ 383 w 577"/>
              <a:gd name="T57" fmla="*/ 392 h 662"/>
              <a:gd name="T58" fmla="*/ 440 w 577"/>
              <a:gd name="T59" fmla="*/ 403 h 662"/>
              <a:gd name="T60" fmla="*/ 383 w 577"/>
              <a:gd name="T61" fmla="*/ 408 h 662"/>
              <a:gd name="T62" fmla="*/ 348 w 577"/>
              <a:gd name="T63" fmla="*/ 576 h 662"/>
              <a:gd name="T64" fmla="*/ 440 w 577"/>
              <a:gd name="T65" fmla="*/ 595 h 662"/>
              <a:gd name="T66" fmla="*/ 456 w 577"/>
              <a:gd name="T67" fmla="*/ 546 h 662"/>
              <a:gd name="T68" fmla="*/ 456 w 577"/>
              <a:gd name="T69" fmla="*/ 562 h 662"/>
              <a:gd name="T70" fmla="*/ 450 w 577"/>
              <a:gd name="T71" fmla="*/ 211 h 662"/>
              <a:gd name="T72" fmla="*/ 346 w 577"/>
              <a:gd name="T73" fmla="*/ 292 h 662"/>
              <a:gd name="T74" fmla="*/ 129 w 577"/>
              <a:gd name="T75" fmla="*/ 259 h 662"/>
              <a:gd name="T76" fmla="*/ 353 w 577"/>
              <a:gd name="T77" fmla="*/ 57 h 662"/>
              <a:gd name="T78" fmla="*/ 129 w 577"/>
              <a:gd name="T79" fmla="*/ 243 h 662"/>
              <a:gd name="T80" fmla="*/ 180 w 577"/>
              <a:gd name="T81" fmla="*/ 243 h 662"/>
              <a:gd name="T82" fmla="*/ 309 w 577"/>
              <a:gd name="T83" fmla="*/ 18 h 662"/>
              <a:gd name="T84" fmla="*/ 85 w 577"/>
              <a:gd name="T85" fmla="*/ 204 h 662"/>
              <a:gd name="T86" fmla="*/ 80 w 577"/>
              <a:gd name="T87" fmla="*/ 295 h 662"/>
              <a:gd name="T88" fmla="*/ 72 w 577"/>
              <a:gd name="T89" fmla="*/ 311 h 662"/>
              <a:gd name="T90" fmla="*/ 232 w 577"/>
              <a:gd name="T91" fmla="*/ 339 h 662"/>
              <a:gd name="T92" fmla="*/ 18 w 577"/>
              <a:gd name="T93" fmla="*/ 534 h 662"/>
              <a:gd name="T94" fmla="*/ 311 w 577"/>
              <a:gd name="T95" fmla="*/ 385 h 662"/>
              <a:gd name="T96" fmla="*/ 311 w 577"/>
              <a:gd name="T97" fmla="*/ 466 h 662"/>
              <a:gd name="T98" fmla="*/ 311 w 577"/>
              <a:gd name="T99" fmla="*/ 520 h 662"/>
              <a:gd name="T100" fmla="*/ 259 w 577"/>
              <a:gd name="T101" fmla="*/ 355 h 662"/>
              <a:gd name="T102" fmla="*/ 440 w 577"/>
              <a:gd name="T103" fmla="*/ 621 h 662"/>
              <a:gd name="T104" fmla="*/ 494 w 577"/>
              <a:gd name="T105" fmla="*/ 609 h 662"/>
              <a:gd name="T106" fmla="*/ 498 w 577"/>
              <a:gd name="T107" fmla="*/ 583 h 662"/>
              <a:gd name="T108" fmla="*/ 523 w 577"/>
              <a:gd name="T109" fmla="*/ 570 h 662"/>
              <a:gd name="T110" fmla="*/ 532 w 577"/>
              <a:gd name="T111" fmla="*/ 546 h 662"/>
              <a:gd name="T112" fmla="*/ 522 w 577"/>
              <a:gd name="T113" fmla="*/ 483 h 662"/>
              <a:gd name="T114" fmla="*/ 522 w 577"/>
              <a:gd name="T115" fmla="*/ 393 h 662"/>
              <a:gd name="T116" fmla="*/ 523 w 577"/>
              <a:gd name="T117" fmla="*/ 355 h 66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577" h="662">
                <a:moveTo>
                  <a:pt x="571" y="346"/>
                </a:moveTo>
                <a:cubicBezTo>
                  <a:pt x="571" y="346"/>
                  <a:pt x="571" y="346"/>
                  <a:pt x="571" y="345"/>
                </a:cubicBezTo>
                <a:cubicBezTo>
                  <a:pt x="537" y="305"/>
                  <a:pt x="537" y="305"/>
                  <a:pt x="537" y="305"/>
                </a:cubicBezTo>
                <a:cubicBezTo>
                  <a:pt x="535" y="303"/>
                  <a:pt x="534" y="301"/>
                  <a:pt x="532" y="300"/>
                </a:cubicBezTo>
                <a:cubicBezTo>
                  <a:pt x="532" y="299"/>
                  <a:pt x="532" y="299"/>
                  <a:pt x="531" y="299"/>
                </a:cubicBezTo>
                <a:cubicBezTo>
                  <a:pt x="529" y="297"/>
                  <a:pt x="526" y="296"/>
                  <a:pt x="523" y="296"/>
                </a:cubicBezTo>
                <a:cubicBezTo>
                  <a:pt x="523" y="263"/>
                  <a:pt x="523" y="263"/>
                  <a:pt x="523" y="263"/>
                </a:cubicBezTo>
                <a:cubicBezTo>
                  <a:pt x="523" y="261"/>
                  <a:pt x="522" y="260"/>
                  <a:pt x="521" y="258"/>
                </a:cubicBezTo>
                <a:cubicBezTo>
                  <a:pt x="522" y="257"/>
                  <a:pt x="523" y="255"/>
                  <a:pt x="523" y="253"/>
                </a:cubicBezTo>
                <a:cubicBezTo>
                  <a:pt x="523" y="218"/>
                  <a:pt x="523" y="218"/>
                  <a:pt x="523" y="218"/>
                </a:cubicBezTo>
                <a:cubicBezTo>
                  <a:pt x="523" y="196"/>
                  <a:pt x="467" y="195"/>
                  <a:pt x="450" y="195"/>
                </a:cubicBezTo>
                <a:cubicBezTo>
                  <a:pt x="433" y="195"/>
                  <a:pt x="378" y="196"/>
                  <a:pt x="378" y="218"/>
                </a:cubicBezTo>
                <a:cubicBezTo>
                  <a:pt x="378" y="253"/>
                  <a:pt x="378" y="253"/>
                  <a:pt x="378" y="253"/>
                </a:cubicBezTo>
                <a:cubicBezTo>
                  <a:pt x="378" y="253"/>
                  <a:pt x="378" y="253"/>
                  <a:pt x="378" y="253"/>
                </a:cubicBezTo>
                <a:cubicBezTo>
                  <a:pt x="378" y="255"/>
                  <a:pt x="378" y="257"/>
                  <a:pt x="379" y="258"/>
                </a:cubicBezTo>
                <a:cubicBezTo>
                  <a:pt x="378" y="260"/>
                  <a:pt x="378" y="261"/>
                  <a:pt x="378" y="263"/>
                </a:cubicBezTo>
                <a:cubicBezTo>
                  <a:pt x="378" y="295"/>
                  <a:pt x="378" y="295"/>
                  <a:pt x="378" y="295"/>
                </a:cubicBezTo>
                <a:cubicBezTo>
                  <a:pt x="372" y="295"/>
                  <a:pt x="372" y="295"/>
                  <a:pt x="372" y="295"/>
                </a:cubicBezTo>
                <a:cubicBezTo>
                  <a:pt x="372" y="251"/>
                  <a:pt x="372" y="251"/>
                  <a:pt x="372" y="251"/>
                </a:cubicBezTo>
                <a:cubicBezTo>
                  <a:pt x="372" y="248"/>
                  <a:pt x="371" y="246"/>
                  <a:pt x="369" y="244"/>
                </a:cubicBezTo>
                <a:cubicBezTo>
                  <a:pt x="369" y="57"/>
                  <a:pt x="369" y="57"/>
                  <a:pt x="369" y="57"/>
                </a:cubicBezTo>
                <a:cubicBezTo>
                  <a:pt x="369" y="50"/>
                  <a:pt x="365" y="43"/>
                  <a:pt x="359" y="40"/>
                </a:cubicBezTo>
                <a:cubicBezTo>
                  <a:pt x="320" y="7"/>
                  <a:pt x="320" y="7"/>
                  <a:pt x="320" y="7"/>
                </a:cubicBezTo>
                <a:cubicBezTo>
                  <a:pt x="316" y="3"/>
                  <a:pt x="310" y="0"/>
                  <a:pt x="305" y="0"/>
                </a:cubicBezTo>
                <a:cubicBezTo>
                  <a:pt x="90" y="0"/>
                  <a:pt x="90" y="0"/>
                  <a:pt x="90" y="0"/>
                </a:cubicBezTo>
                <a:cubicBezTo>
                  <a:pt x="79" y="0"/>
                  <a:pt x="69" y="9"/>
                  <a:pt x="69" y="21"/>
                </a:cubicBezTo>
                <a:cubicBezTo>
                  <a:pt x="69" y="195"/>
                  <a:pt x="69" y="195"/>
                  <a:pt x="69" y="195"/>
                </a:cubicBezTo>
                <a:cubicBezTo>
                  <a:pt x="67" y="197"/>
                  <a:pt x="65" y="199"/>
                  <a:pt x="65" y="202"/>
                </a:cubicBezTo>
                <a:cubicBezTo>
                  <a:pt x="64" y="295"/>
                  <a:pt x="64" y="295"/>
                  <a:pt x="64" y="295"/>
                </a:cubicBezTo>
                <a:cubicBezTo>
                  <a:pt x="21" y="295"/>
                  <a:pt x="21" y="295"/>
                  <a:pt x="21" y="295"/>
                </a:cubicBezTo>
                <a:cubicBezTo>
                  <a:pt x="10" y="295"/>
                  <a:pt x="0" y="304"/>
                  <a:pt x="0" y="316"/>
                </a:cubicBezTo>
                <a:cubicBezTo>
                  <a:pt x="0" y="531"/>
                  <a:pt x="0" y="531"/>
                  <a:pt x="0" y="531"/>
                </a:cubicBezTo>
                <a:cubicBezTo>
                  <a:pt x="0" y="536"/>
                  <a:pt x="3" y="542"/>
                  <a:pt x="7" y="546"/>
                </a:cubicBezTo>
                <a:cubicBezTo>
                  <a:pt x="40" y="585"/>
                  <a:pt x="40" y="585"/>
                  <a:pt x="40" y="585"/>
                </a:cubicBezTo>
                <a:cubicBezTo>
                  <a:pt x="42" y="587"/>
                  <a:pt x="43" y="589"/>
                  <a:pt x="45" y="590"/>
                </a:cubicBezTo>
                <a:cubicBezTo>
                  <a:pt x="49" y="593"/>
                  <a:pt x="53" y="595"/>
                  <a:pt x="58" y="595"/>
                </a:cubicBezTo>
                <a:cubicBezTo>
                  <a:pt x="245" y="595"/>
                  <a:pt x="245" y="595"/>
                  <a:pt x="245" y="595"/>
                </a:cubicBezTo>
                <a:cubicBezTo>
                  <a:pt x="246" y="597"/>
                  <a:pt x="248" y="598"/>
                  <a:pt x="251" y="598"/>
                </a:cubicBezTo>
                <a:cubicBezTo>
                  <a:pt x="311" y="598"/>
                  <a:pt x="311" y="598"/>
                  <a:pt x="311" y="598"/>
                </a:cubicBezTo>
                <a:cubicBezTo>
                  <a:pt x="311" y="599"/>
                  <a:pt x="311" y="600"/>
                  <a:pt x="311" y="600"/>
                </a:cubicBezTo>
                <a:cubicBezTo>
                  <a:pt x="311" y="601"/>
                  <a:pt x="311" y="602"/>
                  <a:pt x="311" y="603"/>
                </a:cubicBezTo>
                <a:cubicBezTo>
                  <a:pt x="311" y="638"/>
                  <a:pt x="311" y="638"/>
                  <a:pt x="311" y="638"/>
                </a:cubicBezTo>
                <a:cubicBezTo>
                  <a:pt x="311" y="638"/>
                  <a:pt x="311" y="639"/>
                  <a:pt x="311" y="639"/>
                </a:cubicBezTo>
                <a:cubicBezTo>
                  <a:pt x="311" y="660"/>
                  <a:pt x="366" y="662"/>
                  <a:pt x="383" y="662"/>
                </a:cubicBezTo>
                <a:cubicBezTo>
                  <a:pt x="400" y="662"/>
                  <a:pt x="456" y="660"/>
                  <a:pt x="456" y="639"/>
                </a:cubicBezTo>
                <a:cubicBezTo>
                  <a:pt x="456" y="629"/>
                  <a:pt x="456" y="629"/>
                  <a:pt x="456" y="629"/>
                </a:cubicBezTo>
                <a:cubicBezTo>
                  <a:pt x="472" y="629"/>
                  <a:pt x="486" y="627"/>
                  <a:pt x="498" y="624"/>
                </a:cubicBezTo>
                <a:cubicBezTo>
                  <a:pt x="504" y="623"/>
                  <a:pt x="523" y="619"/>
                  <a:pt x="523" y="606"/>
                </a:cubicBezTo>
                <a:cubicBezTo>
                  <a:pt x="523" y="595"/>
                  <a:pt x="523" y="595"/>
                  <a:pt x="523" y="595"/>
                </a:cubicBezTo>
                <a:cubicBezTo>
                  <a:pt x="556" y="595"/>
                  <a:pt x="556" y="595"/>
                  <a:pt x="556" y="595"/>
                </a:cubicBezTo>
                <a:cubicBezTo>
                  <a:pt x="567" y="595"/>
                  <a:pt x="577" y="586"/>
                  <a:pt x="577" y="574"/>
                </a:cubicBezTo>
                <a:cubicBezTo>
                  <a:pt x="577" y="360"/>
                  <a:pt x="577" y="360"/>
                  <a:pt x="577" y="360"/>
                </a:cubicBezTo>
                <a:cubicBezTo>
                  <a:pt x="577" y="355"/>
                  <a:pt x="575" y="350"/>
                  <a:pt x="571" y="346"/>
                </a:cubicBezTo>
                <a:close/>
                <a:moveTo>
                  <a:pt x="243" y="406"/>
                </a:moveTo>
                <a:cubicBezTo>
                  <a:pt x="243" y="529"/>
                  <a:pt x="243" y="529"/>
                  <a:pt x="243" y="529"/>
                </a:cubicBezTo>
                <a:cubicBezTo>
                  <a:pt x="233" y="513"/>
                  <a:pt x="227" y="491"/>
                  <a:pt x="227" y="468"/>
                </a:cubicBezTo>
                <a:cubicBezTo>
                  <a:pt x="227" y="445"/>
                  <a:pt x="233" y="423"/>
                  <a:pt x="243" y="406"/>
                </a:cubicBezTo>
                <a:close/>
                <a:moveTo>
                  <a:pt x="243" y="380"/>
                </a:moveTo>
                <a:cubicBezTo>
                  <a:pt x="243" y="381"/>
                  <a:pt x="243" y="381"/>
                  <a:pt x="242" y="381"/>
                </a:cubicBezTo>
                <a:cubicBezTo>
                  <a:pt x="242" y="381"/>
                  <a:pt x="242" y="382"/>
                  <a:pt x="242" y="382"/>
                </a:cubicBezTo>
                <a:cubicBezTo>
                  <a:pt x="222" y="402"/>
                  <a:pt x="211" y="433"/>
                  <a:pt x="211" y="468"/>
                </a:cubicBezTo>
                <a:cubicBezTo>
                  <a:pt x="211" y="499"/>
                  <a:pt x="220" y="528"/>
                  <a:pt x="237" y="548"/>
                </a:cubicBezTo>
                <a:cubicBezTo>
                  <a:pt x="239" y="551"/>
                  <a:pt x="241" y="553"/>
                  <a:pt x="243" y="555"/>
                </a:cubicBezTo>
                <a:cubicBezTo>
                  <a:pt x="243" y="579"/>
                  <a:pt x="243" y="579"/>
                  <a:pt x="243" y="579"/>
                </a:cubicBezTo>
                <a:cubicBezTo>
                  <a:pt x="58" y="579"/>
                  <a:pt x="58" y="579"/>
                  <a:pt x="58" y="579"/>
                </a:cubicBezTo>
                <a:cubicBezTo>
                  <a:pt x="57" y="579"/>
                  <a:pt x="56" y="579"/>
                  <a:pt x="55" y="578"/>
                </a:cubicBezTo>
                <a:cubicBezTo>
                  <a:pt x="53" y="576"/>
                  <a:pt x="53" y="576"/>
                  <a:pt x="53" y="576"/>
                </a:cubicBezTo>
                <a:cubicBezTo>
                  <a:pt x="53" y="576"/>
                  <a:pt x="53" y="575"/>
                  <a:pt x="53" y="574"/>
                </a:cubicBezTo>
                <a:cubicBezTo>
                  <a:pt x="53" y="360"/>
                  <a:pt x="53" y="360"/>
                  <a:pt x="53" y="360"/>
                </a:cubicBezTo>
                <a:cubicBezTo>
                  <a:pt x="53" y="357"/>
                  <a:pt x="55" y="355"/>
                  <a:pt x="58" y="355"/>
                </a:cubicBezTo>
                <a:cubicBezTo>
                  <a:pt x="243" y="355"/>
                  <a:pt x="243" y="355"/>
                  <a:pt x="243" y="355"/>
                </a:cubicBezTo>
                <a:lnTo>
                  <a:pt x="243" y="380"/>
                </a:lnTo>
                <a:close/>
                <a:moveTo>
                  <a:pt x="378" y="311"/>
                </a:moveTo>
                <a:cubicBezTo>
                  <a:pt x="378" y="325"/>
                  <a:pt x="378" y="325"/>
                  <a:pt x="378" y="325"/>
                </a:cubicBezTo>
                <a:cubicBezTo>
                  <a:pt x="364" y="311"/>
                  <a:pt x="364" y="311"/>
                  <a:pt x="364" y="311"/>
                </a:cubicBezTo>
                <a:lnTo>
                  <a:pt x="378" y="311"/>
                </a:lnTo>
                <a:close/>
                <a:moveTo>
                  <a:pt x="507" y="521"/>
                </a:moveTo>
                <a:cubicBezTo>
                  <a:pt x="506" y="522"/>
                  <a:pt x="502" y="524"/>
                  <a:pt x="494" y="526"/>
                </a:cubicBezTo>
                <a:cubicBezTo>
                  <a:pt x="484" y="528"/>
                  <a:pt x="470" y="529"/>
                  <a:pt x="456" y="530"/>
                </a:cubicBezTo>
                <a:cubicBezTo>
                  <a:pt x="456" y="520"/>
                  <a:pt x="456" y="520"/>
                  <a:pt x="456" y="520"/>
                </a:cubicBezTo>
                <a:cubicBezTo>
                  <a:pt x="456" y="518"/>
                  <a:pt x="455" y="517"/>
                  <a:pt x="454" y="516"/>
                </a:cubicBezTo>
                <a:cubicBezTo>
                  <a:pt x="455" y="514"/>
                  <a:pt x="456" y="512"/>
                  <a:pt x="456" y="511"/>
                </a:cubicBezTo>
                <a:cubicBezTo>
                  <a:pt x="456" y="501"/>
                  <a:pt x="456" y="501"/>
                  <a:pt x="456" y="501"/>
                </a:cubicBezTo>
                <a:cubicBezTo>
                  <a:pt x="472" y="500"/>
                  <a:pt x="486" y="499"/>
                  <a:pt x="498" y="496"/>
                </a:cubicBezTo>
                <a:cubicBezTo>
                  <a:pt x="500" y="496"/>
                  <a:pt x="503" y="495"/>
                  <a:pt x="507" y="494"/>
                </a:cubicBezTo>
                <a:lnTo>
                  <a:pt x="507" y="521"/>
                </a:lnTo>
                <a:close/>
                <a:moveTo>
                  <a:pt x="351" y="560"/>
                </a:moveTo>
                <a:cubicBezTo>
                  <a:pt x="351" y="560"/>
                  <a:pt x="351" y="560"/>
                  <a:pt x="350" y="560"/>
                </a:cubicBezTo>
                <a:cubicBezTo>
                  <a:pt x="350" y="560"/>
                  <a:pt x="350" y="560"/>
                  <a:pt x="350" y="560"/>
                </a:cubicBezTo>
                <a:cubicBezTo>
                  <a:pt x="336" y="558"/>
                  <a:pt x="329" y="555"/>
                  <a:pt x="327" y="554"/>
                </a:cubicBezTo>
                <a:cubicBezTo>
                  <a:pt x="327" y="526"/>
                  <a:pt x="327" y="526"/>
                  <a:pt x="327" y="526"/>
                </a:cubicBezTo>
                <a:cubicBezTo>
                  <a:pt x="344" y="533"/>
                  <a:pt x="372" y="533"/>
                  <a:pt x="383" y="533"/>
                </a:cubicBezTo>
                <a:cubicBezTo>
                  <a:pt x="394" y="533"/>
                  <a:pt x="422" y="533"/>
                  <a:pt x="440" y="526"/>
                </a:cubicBezTo>
                <a:cubicBezTo>
                  <a:pt x="440" y="554"/>
                  <a:pt x="440" y="554"/>
                  <a:pt x="440" y="554"/>
                </a:cubicBezTo>
                <a:cubicBezTo>
                  <a:pt x="435" y="557"/>
                  <a:pt x="415" y="562"/>
                  <a:pt x="383" y="562"/>
                </a:cubicBezTo>
                <a:cubicBezTo>
                  <a:pt x="372" y="562"/>
                  <a:pt x="360" y="562"/>
                  <a:pt x="351" y="560"/>
                </a:cubicBezTo>
                <a:close/>
                <a:moveTo>
                  <a:pt x="383" y="444"/>
                </a:moveTo>
                <a:cubicBezTo>
                  <a:pt x="394" y="444"/>
                  <a:pt x="422" y="443"/>
                  <a:pt x="440" y="436"/>
                </a:cubicBezTo>
                <a:cubicBezTo>
                  <a:pt x="440" y="448"/>
                  <a:pt x="440" y="448"/>
                  <a:pt x="440" y="448"/>
                </a:cubicBezTo>
                <a:cubicBezTo>
                  <a:pt x="440" y="448"/>
                  <a:pt x="440" y="448"/>
                  <a:pt x="440" y="448"/>
                </a:cubicBezTo>
                <a:cubicBezTo>
                  <a:pt x="440" y="448"/>
                  <a:pt x="440" y="448"/>
                  <a:pt x="440" y="448"/>
                </a:cubicBezTo>
                <a:cubicBezTo>
                  <a:pt x="440" y="464"/>
                  <a:pt x="440" y="464"/>
                  <a:pt x="440" y="464"/>
                </a:cubicBezTo>
                <a:cubicBezTo>
                  <a:pt x="435" y="467"/>
                  <a:pt x="415" y="473"/>
                  <a:pt x="383" y="473"/>
                </a:cubicBezTo>
                <a:cubicBezTo>
                  <a:pt x="351" y="473"/>
                  <a:pt x="331" y="467"/>
                  <a:pt x="327" y="464"/>
                </a:cubicBezTo>
                <a:cubicBezTo>
                  <a:pt x="327" y="436"/>
                  <a:pt x="327" y="436"/>
                  <a:pt x="327" y="436"/>
                </a:cubicBezTo>
                <a:cubicBezTo>
                  <a:pt x="344" y="443"/>
                  <a:pt x="372" y="444"/>
                  <a:pt x="383" y="444"/>
                </a:cubicBezTo>
                <a:close/>
                <a:moveTo>
                  <a:pt x="383" y="489"/>
                </a:moveTo>
                <a:cubicBezTo>
                  <a:pt x="394" y="489"/>
                  <a:pt x="422" y="488"/>
                  <a:pt x="440" y="481"/>
                </a:cubicBezTo>
                <a:cubicBezTo>
                  <a:pt x="440" y="493"/>
                  <a:pt x="440" y="493"/>
                  <a:pt x="440" y="493"/>
                </a:cubicBezTo>
                <a:cubicBezTo>
                  <a:pt x="440" y="493"/>
                  <a:pt x="440" y="493"/>
                  <a:pt x="440" y="493"/>
                </a:cubicBezTo>
                <a:cubicBezTo>
                  <a:pt x="440" y="493"/>
                  <a:pt x="440" y="493"/>
                  <a:pt x="440" y="493"/>
                </a:cubicBezTo>
                <a:cubicBezTo>
                  <a:pt x="440" y="509"/>
                  <a:pt x="440" y="509"/>
                  <a:pt x="440" y="509"/>
                </a:cubicBezTo>
                <a:cubicBezTo>
                  <a:pt x="435" y="512"/>
                  <a:pt x="415" y="518"/>
                  <a:pt x="383" y="518"/>
                </a:cubicBezTo>
                <a:cubicBezTo>
                  <a:pt x="351" y="518"/>
                  <a:pt x="331" y="512"/>
                  <a:pt x="327" y="509"/>
                </a:cubicBezTo>
                <a:cubicBezTo>
                  <a:pt x="327" y="481"/>
                  <a:pt x="327" y="481"/>
                  <a:pt x="327" y="481"/>
                </a:cubicBezTo>
                <a:cubicBezTo>
                  <a:pt x="344" y="488"/>
                  <a:pt x="372" y="489"/>
                  <a:pt x="383" y="489"/>
                </a:cubicBezTo>
                <a:close/>
                <a:moveTo>
                  <a:pt x="507" y="476"/>
                </a:moveTo>
                <a:cubicBezTo>
                  <a:pt x="506" y="477"/>
                  <a:pt x="502" y="479"/>
                  <a:pt x="494" y="481"/>
                </a:cubicBezTo>
                <a:cubicBezTo>
                  <a:pt x="484" y="483"/>
                  <a:pt x="470" y="484"/>
                  <a:pt x="456" y="485"/>
                </a:cubicBezTo>
                <a:cubicBezTo>
                  <a:pt x="456" y="475"/>
                  <a:pt x="456" y="475"/>
                  <a:pt x="456" y="475"/>
                </a:cubicBezTo>
                <a:cubicBezTo>
                  <a:pt x="456" y="473"/>
                  <a:pt x="455" y="472"/>
                  <a:pt x="454" y="471"/>
                </a:cubicBezTo>
                <a:cubicBezTo>
                  <a:pt x="455" y="469"/>
                  <a:pt x="456" y="467"/>
                  <a:pt x="456" y="466"/>
                </a:cubicBezTo>
                <a:cubicBezTo>
                  <a:pt x="456" y="456"/>
                  <a:pt x="456" y="456"/>
                  <a:pt x="456" y="456"/>
                </a:cubicBezTo>
                <a:cubicBezTo>
                  <a:pt x="472" y="455"/>
                  <a:pt x="486" y="454"/>
                  <a:pt x="498" y="451"/>
                </a:cubicBezTo>
                <a:cubicBezTo>
                  <a:pt x="500" y="451"/>
                  <a:pt x="503" y="450"/>
                  <a:pt x="507" y="449"/>
                </a:cubicBezTo>
                <a:lnTo>
                  <a:pt x="507" y="476"/>
                </a:lnTo>
                <a:close/>
                <a:moveTo>
                  <a:pt x="507" y="431"/>
                </a:moveTo>
                <a:cubicBezTo>
                  <a:pt x="506" y="432"/>
                  <a:pt x="502" y="434"/>
                  <a:pt x="494" y="436"/>
                </a:cubicBezTo>
                <a:cubicBezTo>
                  <a:pt x="484" y="438"/>
                  <a:pt x="470" y="440"/>
                  <a:pt x="456" y="440"/>
                </a:cubicBezTo>
                <a:cubicBezTo>
                  <a:pt x="456" y="430"/>
                  <a:pt x="456" y="430"/>
                  <a:pt x="456" y="430"/>
                </a:cubicBezTo>
                <a:cubicBezTo>
                  <a:pt x="456" y="428"/>
                  <a:pt x="455" y="427"/>
                  <a:pt x="454" y="426"/>
                </a:cubicBezTo>
                <a:cubicBezTo>
                  <a:pt x="455" y="424"/>
                  <a:pt x="456" y="423"/>
                  <a:pt x="456" y="421"/>
                </a:cubicBezTo>
                <a:cubicBezTo>
                  <a:pt x="456" y="411"/>
                  <a:pt x="456" y="411"/>
                  <a:pt x="456" y="411"/>
                </a:cubicBezTo>
                <a:cubicBezTo>
                  <a:pt x="472" y="410"/>
                  <a:pt x="486" y="409"/>
                  <a:pt x="498" y="406"/>
                </a:cubicBezTo>
                <a:cubicBezTo>
                  <a:pt x="500" y="406"/>
                  <a:pt x="503" y="405"/>
                  <a:pt x="507" y="404"/>
                </a:cubicBezTo>
                <a:lnTo>
                  <a:pt x="507" y="431"/>
                </a:lnTo>
                <a:close/>
                <a:moveTo>
                  <a:pt x="507" y="386"/>
                </a:moveTo>
                <a:cubicBezTo>
                  <a:pt x="506" y="387"/>
                  <a:pt x="502" y="389"/>
                  <a:pt x="494" y="391"/>
                </a:cubicBezTo>
                <a:cubicBezTo>
                  <a:pt x="484" y="393"/>
                  <a:pt x="470" y="395"/>
                  <a:pt x="456" y="395"/>
                </a:cubicBezTo>
                <a:cubicBezTo>
                  <a:pt x="456" y="385"/>
                  <a:pt x="456" y="385"/>
                  <a:pt x="456" y="385"/>
                </a:cubicBezTo>
                <a:cubicBezTo>
                  <a:pt x="456" y="368"/>
                  <a:pt x="418" y="363"/>
                  <a:pt x="395" y="362"/>
                </a:cubicBezTo>
                <a:cubicBezTo>
                  <a:pt x="395" y="359"/>
                  <a:pt x="395" y="359"/>
                  <a:pt x="395" y="359"/>
                </a:cubicBezTo>
                <a:cubicBezTo>
                  <a:pt x="413" y="365"/>
                  <a:pt x="439" y="366"/>
                  <a:pt x="450" y="366"/>
                </a:cubicBezTo>
                <a:cubicBezTo>
                  <a:pt x="461" y="366"/>
                  <a:pt x="489" y="365"/>
                  <a:pt x="507" y="359"/>
                </a:cubicBezTo>
                <a:lnTo>
                  <a:pt x="507" y="386"/>
                </a:lnTo>
                <a:close/>
                <a:moveTo>
                  <a:pt x="450" y="321"/>
                </a:moveTo>
                <a:cubicBezTo>
                  <a:pt x="461" y="321"/>
                  <a:pt x="489" y="320"/>
                  <a:pt x="507" y="314"/>
                </a:cubicBezTo>
                <a:cubicBezTo>
                  <a:pt x="507" y="341"/>
                  <a:pt x="507" y="341"/>
                  <a:pt x="507" y="341"/>
                </a:cubicBezTo>
                <a:cubicBezTo>
                  <a:pt x="502" y="345"/>
                  <a:pt x="482" y="350"/>
                  <a:pt x="450" y="350"/>
                </a:cubicBezTo>
                <a:cubicBezTo>
                  <a:pt x="418" y="350"/>
                  <a:pt x="398" y="345"/>
                  <a:pt x="394" y="341"/>
                </a:cubicBezTo>
                <a:cubicBezTo>
                  <a:pt x="394" y="314"/>
                  <a:pt x="394" y="314"/>
                  <a:pt x="394" y="314"/>
                </a:cubicBezTo>
                <a:cubicBezTo>
                  <a:pt x="411" y="320"/>
                  <a:pt x="439" y="321"/>
                  <a:pt x="450" y="321"/>
                </a:cubicBezTo>
                <a:close/>
                <a:moveTo>
                  <a:pt x="507" y="251"/>
                </a:moveTo>
                <a:cubicBezTo>
                  <a:pt x="502" y="255"/>
                  <a:pt x="482" y="260"/>
                  <a:pt x="450" y="260"/>
                </a:cubicBezTo>
                <a:cubicBezTo>
                  <a:pt x="418" y="260"/>
                  <a:pt x="398" y="255"/>
                  <a:pt x="394" y="252"/>
                </a:cubicBezTo>
                <a:cubicBezTo>
                  <a:pt x="394" y="233"/>
                  <a:pt x="394" y="233"/>
                  <a:pt x="394" y="233"/>
                </a:cubicBezTo>
                <a:cubicBezTo>
                  <a:pt x="411" y="240"/>
                  <a:pt x="439" y="241"/>
                  <a:pt x="450" y="241"/>
                </a:cubicBezTo>
                <a:cubicBezTo>
                  <a:pt x="461" y="241"/>
                  <a:pt x="489" y="240"/>
                  <a:pt x="507" y="233"/>
                </a:cubicBezTo>
                <a:lnTo>
                  <a:pt x="507" y="251"/>
                </a:lnTo>
                <a:close/>
                <a:moveTo>
                  <a:pt x="394" y="269"/>
                </a:moveTo>
                <a:cubicBezTo>
                  <a:pt x="411" y="275"/>
                  <a:pt x="439" y="276"/>
                  <a:pt x="450" y="276"/>
                </a:cubicBezTo>
                <a:cubicBezTo>
                  <a:pt x="461" y="276"/>
                  <a:pt x="489" y="275"/>
                  <a:pt x="507" y="269"/>
                </a:cubicBezTo>
                <a:cubicBezTo>
                  <a:pt x="507" y="296"/>
                  <a:pt x="507" y="296"/>
                  <a:pt x="507" y="296"/>
                </a:cubicBezTo>
                <a:cubicBezTo>
                  <a:pt x="502" y="300"/>
                  <a:pt x="482" y="305"/>
                  <a:pt x="450" y="305"/>
                </a:cubicBezTo>
                <a:cubicBezTo>
                  <a:pt x="418" y="305"/>
                  <a:pt x="398" y="300"/>
                  <a:pt x="394" y="296"/>
                </a:cubicBezTo>
                <a:lnTo>
                  <a:pt x="394" y="269"/>
                </a:lnTo>
                <a:close/>
                <a:moveTo>
                  <a:pt x="369" y="339"/>
                </a:moveTo>
                <a:cubicBezTo>
                  <a:pt x="254" y="339"/>
                  <a:pt x="254" y="339"/>
                  <a:pt x="254" y="339"/>
                </a:cubicBezTo>
                <a:cubicBezTo>
                  <a:pt x="222" y="307"/>
                  <a:pt x="222" y="307"/>
                  <a:pt x="222" y="307"/>
                </a:cubicBezTo>
                <a:cubicBezTo>
                  <a:pt x="337" y="306"/>
                  <a:pt x="337" y="306"/>
                  <a:pt x="337" y="306"/>
                </a:cubicBezTo>
                <a:lnTo>
                  <a:pt x="369" y="339"/>
                </a:lnTo>
                <a:close/>
                <a:moveTo>
                  <a:pt x="383" y="378"/>
                </a:moveTo>
                <a:cubicBezTo>
                  <a:pt x="410" y="378"/>
                  <a:pt x="429" y="382"/>
                  <a:pt x="437" y="385"/>
                </a:cubicBezTo>
                <a:cubicBezTo>
                  <a:pt x="429" y="388"/>
                  <a:pt x="410" y="392"/>
                  <a:pt x="383" y="392"/>
                </a:cubicBezTo>
                <a:cubicBezTo>
                  <a:pt x="356" y="392"/>
                  <a:pt x="338" y="388"/>
                  <a:pt x="330" y="385"/>
                </a:cubicBezTo>
                <a:cubicBezTo>
                  <a:pt x="338" y="382"/>
                  <a:pt x="356" y="378"/>
                  <a:pt x="383" y="378"/>
                </a:cubicBezTo>
                <a:close/>
                <a:moveTo>
                  <a:pt x="383" y="408"/>
                </a:moveTo>
                <a:cubicBezTo>
                  <a:pt x="394" y="408"/>
                  <a:pt x="422" y="407"/>
                  <a:pt x="440" y="401"/>
                </a:cubicBezTo>
                <a:cubicBezTo>
                  <a:pt x="440" y="403"/>
                  <a:pt x="440" y="403"/>
                  <a:pt x="440" y="403"/>
                </a:cubicBezTo>
                <a:cubicBezTo>
                  <a:pt x="440" y="403"/>
                  <a:pt x="440" y="403"/>
                  <a:pt x="440" y="403"/>
                </a:cubicBezTo>
                <a:cubicBezTo>
                  <a:pt x="440" y="403"/>
                  <a:pt x="440" y="403"/>
                  <a:pt x="440" y="403"/>
                </a:cubicBezTo>
                <a:cubicBezTo>
                  <a:pt x="440" y="419"/>
                  <a:pt x="440" y="419"/>
                  <a:pt x="440" y="419"/>
                </a:cubicBezTo>
                <a:cubicBezTo>
                  <a:pt x="435" y="422"/>
                  <a:pt x="415" y="428"/>
                  <a:pt x="383" y="428"/>
                </a:cubicBezTo>
                <a:cubicBezTo>
                  <a:pt x="351" y="428"/>
                  <a:pt x="331" y="422"/>
                  <a:pt x="327" y="419"/>
                </a:cubicBezTo>
                <a:cubicBezTo>
                  <a:pt x="327" y="401"/>
                  <a:pt x="327" y="401"/>
                  <a:pt x="327" y="401"/>
                </a:cubicBezTo>
                <a:cubicBezTo>
                  <a:pt x="344" y="407"/>
                  <a:pt x="372" y="408"/>
                  <a:pt x="383" y="408"/>
                </a:cubicBezTo>
                <a:close/>
                <a:moveTo>
                  <a:pt x="327" y="590"/>
                </a:moveTo>
                <a:cubicBezTo>
                  <a:pt x="327" y="590"/>
                  <a:pt x="327" y="590"/>
                  <a:pt x="327" y="590"/>
                </a:cubicBezTo>
                <a:cubicBezTo>
                  <a:pt x="327" y="590"/>
                  <a:pt x="327" y="590"/>
                  <a:pt x="327" y="590"/>
                </a:cubicBezTo>
                <a:cubicBezTo>
                  <a:pt x="327" y="571"/>
                  <a:pt x="327" y="571"/>
                  <a:pt x="327" y="571"/>
                </a:cubicBezTo>
                <a:cubicBezTo>
                  <a:pt x="332" y="573"/>
                  <a:pt x="339" y="575"/>
                  <a:pt x="348" y="576"/>
                </a:cubicBezTo>
                <a:cubicBezTo>
                  <a:pt x="348" y="576"/>
                  <a:pt x="348" y="576"/>
                  <a:pt x="348" y="576"/>
                </a:cubicBezTo>
                <a:cubicBezTo>
                  <a:pt x="359" y="578"/>
                  <a:pt x="371" y="578"/>
                  <a:pt x="383" y="578"/>
                </a:cubicBezTo>
                <a:cubicBezTo>
                  <a:pt x="394" y="578"/>
                  <a:pt x="422" y="578"/>
                  <a:pt x="440" y="571"/>
                </a:cubicBezTo>
                <a:cubicBezTo>
                  <a:pt x="440" y="579"/>
                  <a:pt x="440" y="579"/>
                  <a:pt x="440" y="579"/>
                </a:cubicBezTo>
                <a:cubicBezTo>
                  <a:pt x="440" y="579"/>
                  <a:pt x="440" y="579"/>
                  <a:pt x="440" y="579"/>
                </a:cubicBezTo>
                <a:cubicBezTo>
                  <a:pt x="440" y="579"/>
                  <a:pt x="440" y="579"/>
                  <a:pt x="440" y="579"/>
                </a:cubicBezTo>
                <a:cubicBezTo>
                  <a:pt x="440" y="595"/>
                  <a:pt x="440" y="595"/>
                  <a:pt x="440" y="595"/>
                </a:cubicBezTo>
                <a:cubicBezTo>
                  <a:pt x="435" y="599"/>
                  <a:pt x="415" y="604"/>
                  <a:pt x="383" y="604"/>
                </a:cubicBezTo>
                <a:cubicBezTo>
                  <a:pt x="351" y="604"/>
                  <a:pt x="331" y="599"/>
                  <a:pt x="327" y="595"/>
                </a:cubicBezTo>
                <a:lnTo>
                  <a:pt x="327" y="590"/>
                </a:lnTo>
                <a:close/>
                <a:moveTo>
                  <a:pt x="455" y="559"/>
                </a:moveTo>
                <a:cubicBezTo>
                  <a:pt x="456" y="558"/>
                  <a:pt x="456" y="557"/>
                  <a:pt x="456" y="555"/>
                </a:cubicBezTo>
                <a:cubicBezTo>
                  <a:pt x="456" y="546"/>
                  <a:pt x="456" y="546"/>
                  <a:pt x="456" y="546"/>
                </a:cubicBezTo>
                <a:cubicBezTo>
                  <a:pt x="472" y="545"/>
                  <a:pt x="486" y="544"/>
                  <a:pt x="498" y="541"/>
                </a:cubicBezTo>
                <a:cubicBezTo>
                  <a:pt x="500" y="541"/>
                  <a:pt x="503" y="540"/>
                  <a:pt x="507" y="538"/>
                </a:cubicBezTo>
                <a:cubicBezTo>
                  <a:pt x="507" y="563"/>
                  <a:pt x="507" y="563"/>
                  <a:pt x="507" y="563"/>
                </a:cubicBezTo>
                <a:cubicBezTo>
                  <a:pt x="506" y="563"/>
                  <a:pt x="502" y="565"/>
                  <a:pt x="494" y="567"/>
                </a:cubicBezTo>
                <a:cubicBezTo>
                  <a:pt x="484" y="570"/>
                  <a:pt x="470" y="571"/>
                  <a:pt x="456" y="571"/>
                </a:cubicBezTo>
                <a:cubicBezTo>
                  <a:pt x="456" y="562"/>
                  <a:pt x="456" y="562"/>
                  <a:pt x="456" y="562"/>
                </a:cubicBezTo>
                <a:cubicBezTo>
                  <a:pt x="456" y="561"/>
                  <a:pt x="456" y="560"/>
                  <a:pt x="455" y="559"/>
                </a:cubicBezTo>
                <a:close/>
                <a:moveTo>
                  <a:pt x="523" y="339"/>
                </a:moveTo>
                <a:cubicBezTo>
                  <a:pt x="523" y="313"/>
                  <a:pt x="523" y="313"/>
                  <a:pt x="523" y="313"/>
                </a:cubicBezTo>
                <a:cubicBezTo>
                  <a:pt x="545" y="339"/>
                  <a:pt x="545" y="339"/>
                  <a:pt x="545" y="339"/>
                </a:cubicBezTo>
                <a:lnTo>
                  <a:pt x="523" y="339"/>
                </a:lnTo>
                <a:close/>
                <a:moveTo>
                  <a:pt x="450" y="211"/>
                </a:moveTo>
                <a:cubicBezTo>
                  <a:pt x="477" y="211"/>
                  <a:pt x="496" y="214"/>
                  <a:pt x="504" y="218"/>
                </a:cubicBezTo>
                <a:cubicBezTo>
                  <a:pt x="496" y="221"/>
                  <a:pt x="477" y="225"/>
                  <a:pt x="450" y="225"/>
                </a:cubicBezTo>
                <a:cubicBezTo>
                  <a:pt x="423" y="225"/>
                  <a:pt x="405" y="221"/>
                  <a:pt x="397" y="218"/>
                </a:cubicBezTo>
                <a:cubicBezTo>
                  <a:pt x="405" y="214"/>
                  <a:pt x="423" y="211"/>
                  <a:pt x="450" y="211"/>
                </a:cubicBezTo>
                <a:close/>
                <a:moveTo>
                  <a:pt x="349" y="295"/>
                </a:moveTo>
                <a:cubicBezTo>
                  <a:pt x="346" y="292"/>
                  <a:pt x="346" y="292"/>
                  <a:pt x="346" y="292"/>
                </a:cubicBezTo>
                <a:cubicBezTo>
                  <a:pt x="345" y="291"/>
                  <a:pt x="343" y="290"/>
                  <a:pt x="341" y="290"/>
                </a:cubicBezTo>
                <a:cubicBezTo>
                  <a:pt x="341" y="290"/>
                  <a:pt x="341" y="290"/>
                  <a:pt x="341" y="290"/>
                </a:cubicBezTo>
                <a:cubicBezTo>
                  <a:pt x="203" y="291"/>
                  <a:pt x="203" y="291"/>
                  <a:pt x="203" y="291"/>
                </a:cubicBezTo>
                <a:cubicBezTo>
                  <a:pt x="200" y="291"/>
                  <a:pt x="197" y="292"/>
                  <a:pt x="196" y="295"/>
                </a:cubicBezTo>
                <a:cubicBezTo>
                  <a:pt x="129" y="295"/>
                  <a:pt x="129" y="295"/>
                  <a:pt x="129" y="295"/>
                </a:cubicBezTo>
                <a:cubicBezTo>
                  <a:pt x="129" y="259"/>
                  <a:pt x="129" y="259"/>
                  <a:pt x="129" y="259"/>
                </a:cubicBezTo>
                <a:cubicBezTo>
                  <a:pt x="356" y="259"/>
                  <a:pt x="356" y="259"/>
                  <a:pt x="356" y="259"/>
                </a:cubicBezTo>
                <a:cubicBezTo>
                  <a:pt x="356" y="295"/>
                  <a:pt x="356" y="295"/>
                  <a:pt x="356" y="295"/>
                </a:cubicBezTo>
                <a:lnTo>
                  <a:pt x="349" y="295"/>
                </a:lnTo>
                <a:close/>
                <a:moveTo>
                  <a:pt x="350" y="53"/>
                </a:moveTo>
                <a:cubicBezTo>
                  <a:pt x="353" y="55"/>
                  <a:pt x="353" y="55"/>
                  <a:pt x="353" y="55"/>
                </a:cubicBezTo>
                <a:cubicBezTo>
                  <a:pt x="353" y="56"/>
                  <a:pt x="353" y="57"/>
                  <a:pt x="353" y="57"/>
                </a:cubicBezTo>
                <a:cubicBezTo>
                  <a:pt x="353" y="243"/>
                  <a:pt x="353" y="243"/>
                  <a:pt x="353" y="243"/>
                </a:cubicBezTo>
                <a:cubicBezTo>
                  <a:pt x="329" y="243"/>
                  <a:pt x="329" y="243"/>
                  <a:pt x="329" y="243"/>
                </a:cubicBezTo>
                <a:cubicBezTo>
                  <a:pt x="327" y="240"/>
                  <a:pt x="325" y="238"/>
                  <a:pt x="322" y="236"/>
                </a:cubicBezTo>
                <a:cubicBezTo>
                  <a:pt x="302" y="220"/>
                  <a:pt x="273" y="211"/>
                  <a:pt x="242" y="211"/>
                </a:cubicBezTo>
                <a:cubicBezTo>
                  <a:pt x="207" y="211"/>
                  <a:pt x="174" y="223"/>
                  <a:pt x="154" y="243"/>
                </a:cubicBezTo>
                <a:cubicBezTo>
                  <a:pt x="129" y="243"/>
                  <a:pt x="129" y="243"/>
                  <a:pt x="129" y="243"/>
                </a:cubicBezTo>
                <a:cubicBezTo>
                  <a:pt x="129" y="57"/>
                  <a:pt x="129" y="57"/>
                  <a:pt x="129" y="57"/>
                </a:cubicBezTo>
                <a:cubicBezTo>
                  <a:pt x="129" y="55"/>
                  <a:pt x="131" y="53"/>
                  <a:pt x="134" y="53"/>
                </a:cubicBezTo>
                <a:cubicBezTo>
                  <a:pt x="348" y="53"/>
                  <a:pt x="348" y="53"/>
                  <a:pt x="348" y="53"/>
                </a:cubicBezTo>
                <a:cubicBezTo>
                  <a:pt x="349" y="53"/>
                  <a:pt x="350" y="53"/>
                  <a:pt x="350" y="53"/>
                </a:cubicBezTo>
                <a:close/>
                <a:moveTo>
                  <a:pt x="304" y="243"/>
                </a:moveTo>
                <a:cubicBezTo>
                  <a:pt x="180" y="243"/>
                  <a:pt x="180" y="243"/>
                  <a:pt x="180" y="243"/>
                </a:cubicBezTo>
                <a:cubicBezTo>
                  <a:pt x="197" y="232"/>
                  <a:pt x="219" y="226"/>
                  <a:pt x="242" y="226"/>
                </a:cubicBezTo>
                <a:cubicBezTo>
                  <a:pt x="265" y="226"/>
                  <a:pt x="287" y="232"/>
                  <a:pt x="304" y="243"/>
                </a:cubicBezTo>
                <a:close/>
                <a:moveTo>
                  <a:pt x="90" y="16"/>
                </a:moveTo>
                <a:cubicBezTo>
                  <a:pt x="305" y="16"/>
                  <a:pt x="305" y="16"/>
                  <a:pt x="305" y="16"/>
                </a:cubicBezTo>
                <a:cubicBezTo>
                  <a:pt x="306" y="16"/>
                  <a:pt x="307" y="17"/>
                  <a:pt x="308" y="18"/>
                </a:cubicBezTo>
                <a:cubicBezTo>
                  <a:pt x="308" y="18"/>
                  <a:pt x="309" y="18"/>
                  <a:pt x="309" y="18"/>
                </a:cubicBezTo>
                <a:cubicBezTo>
                  <a:pt x="309" y="18"/>
                  <a:pt x="309" y="19"/>
                  <a:pt x="309" y="19"/>
                </a:cubicBezTo>
                <a:cubicBezTo>
                  <a:pt x="331" y="37"/>
                  <a:pt x="331" y="37"/>
                  <a:pt x="331" y="37"/>
                </a:cubicBezTo>
                <a:cubicBezTo>
                  <a:pt x="134" y="37"/>
                  <a:pt x="134" y="37"/>
                  <a:pt x="134" y="37"/>
                </a:cubicBezTo>
                <a:cubicBezTo>
                  <a:pt x="122" y="37"/>
                  <a:pt x="113" y="46"/>
                  <a:pt x="113" y="57"/>
                </a:cubicBezTo>
                <a:cubicBezTo>
                  <a:pt x="113" y="231"/>
                  <a:pt x="113" y="231"/>
                  <a:pt x="113" y="231"/>
                </a:cubicBezTo>
                <a:cubicBezTo>
                  <a:pt x="85" y="204"/>
                  <a:pt x="85" y="204"/>
                  <a:pt x="85" y="204"/>
                </a:cubicBezTo>
                <a:cubicBezTo>
                  <a:pt x="85" y="21"/>
                  <a:pt x="85" y="21"/>
                  <a:pt x="85" y="21"/>
                </a:cubicBezTo>
                <a:cubicBezTo>
                  <a:pt x="85" y="18"/>
                  <a:pt x="87" y="16"/>
                  <a:pt x="90" y="16"/>
                </a:cubicBezTo>
                <a:close/>
                <a:moveTo>
                  <a:pt x="81" y="221"/>
                </a:moveTo>
                <a:cubicBezTo>
                  <a:pt x="113" y="254"/>
                  <a:pt x="113" y="254"/>
                  <a:pt x="113" y="254"/>
                </a:cubicBezTo>
                <a:cubicBezTo>
                  <a:pt x="113" y="295"/>
                  <a:pt x="113" y="295"/>
                  <a:pt x="113" y="295"/>
                </a:cubicBezTo>
                <a:cubicBezTo>
                  <a:pt x="80" y="295"/>
                  <a:pt x="80" y="295"/>
                  <a:pt x="80" y="295"/>
                </a:cubicBezTo>
                <a:lnTo>
                  <a:pt x="81" y="221"/>
                </a:lnTo>
                <a:close/>
                <a:moveTo>
                  <a:pt x="16" y="316"/>
                </a:moveTo>
                <a:cubicBezTo>
                  <a:pt x="16" y="313"/>
                  <a:pt x="19" y="311"/>
                  <a:pt x="21" y="311"/>
                </a:cubicBezTo>
                <a:cubicBezTo>
                  <a:pt x="72" y="311"/>
                  <a:pt x="72" y="311"/>
                  <a:pt x="72" y="311"/>
                </a:cubicBezTo>
                <a:cubicBezTo>
                  <a:pt x="72" y="311"/>
                  <a:pt x="72" y="311"/>
                  <a:pt x="72" y="311"/>
                </a:cubicBezTo>
                <a:cubicBezTo>
                  <a:pt x="72" y="311"/>
                  <a:pt x="72" y="311"/>
                  <a:pt x="72" y="311"/>
                </a:cubicBezTo>
                <a:cubicBezTo>
                  <a:pt x="72" y="311"/>
                  <a:pt x="72" y="311"/>
                  <a:pt x="72" y="311"/>
                </a:cubicBezTo>
                <a:cubicBezTo>
                  <a:pt x="121" y="311"/>
                  <a:pt x="121" y="311"/>
                  <a:pt x="121" y="311"/>
                </a:cubicBezTo>
                <a:cubicBezTo>
                  <a:pt x="121" y="311"/>
                  <a:pt x="121" y="311"/>
                  <a:pt x="121" y="311"/>
                </a:cubicBezTo>
                <a:cubicBezTo>
                  <a:pt x="121" y="311"/>
                  <a:pt x="121" y="311"/>
                  <a:pt x="121" y="311"/>
                </a:cubicBezTo>
                <a:cubicBezTo>
                  <a:pt x="204" y="311"/>
                  <a:pt x="204" y="311"/>
                  <a:pt x="204" y="311"/>
                </a:cubicBezTo>
                <a:cubicBezTo>
                  <a:pt x="232" y="339"/>
                  <a:pt x="232" y="339"/>
                  <a:pt x="232" y="339"/>
                </a:cubicBezTo>
                <a:cubicBezTo>
                  <a:pt x="58" y="339"/>
                  <a:pt x="58" y="339"/>
                  <a:pt x="58" y="339"/>
                </a:cubicBezTo>
                <a:cubicBezTo>
                  <a:pt x="46" y="339"/>
                  <a:pt x="37" y="348"/>
                  <a:pt x="37" y="360"/>
                </a:cubicBezTo>
                <a:cubicBezTo>
                  <a:pt x="37" y="557"/>
                  <a:pt x="37" y="557"/>
                  <a:pt x="37" y="557"/>
                </a:cubicBezTo>
                <a:cubicBezTo>
                  <a:pt x="19" y="535"/>
                  <a:pt x="19" y="535"/>
                  <a:pt x="19" y="535"/>
                </a:cubicBezTo>
                <a:cubicBezTo>
                  <a:pt x="19" y="535"/>
                  <a:pt x="19" y="535"/>
                  <a:pt x="18" y="535"/>
                </a:cubicBezTo>
                <a:cubicBezTo>
                  <a:pt x="18" y="534"/>
                  <a:pt x="18" y="534"/>
                  <a:pt x="18" y="534"/>
                </a:cubicBezTo>
                <a:cubicBezTo>
                  <a:pt x="17" y="533"/>
                  <a:pt x="16" y="532"/>
                  <a:pt x="16" y="531"/>
                </a:cubicBezTo>
                <a:lnTo>
                  <a:pt x="16" y="316"/>
                </a:lnTo>
                <a:close/>
                <a:moveTo>
                  <a:pt x="259" y="355"/>
                </a:moveTo>
                <a:cubicBezTo>
                  <a:pt x="380" y="355"/>
                  <a:pt x="380" y="355"/>
                  <a:pt x="380" y="355"/>
                </a:cubicBezTo>
                <a:cubicBezTo>
                  <a:pt x="380" y="362"/>
                  <a:pt x="380" y="362"/>
                  <a:pt x="380" y="362"/>
                </a:cubicBezTo>
                <a:cubicBezTo>
                  <a:pt x="359" y="362"/>
                  <a:pt x="311" y="365"/>
                  <a:pt x="311" y="385"/>
                </a:cubicBezTo>
                <a:cubicBezTo>
                  <a:pt x="311" y="420"/>
                  <a:pt x="311" y="420"/>
                  <a:pt x="311" y="420"/>
                </a:cubicBezTo>
                <a:cubicBezTo>
                  <a:pt x="311" y="420"/>
                  <a:pt x="311" y="421"/>
                  <a:pt x="311" y="421"/>
                </a:cubicBezTo>
                <a:cubicBezTo>
                  <a:pt x="311" y="423"/>
                  <a:pt x="311" y="424"/>
                  <a:pt x="312" y="426"/>
                </a:cubicBezTo>
                <a:cubicBezTo>
                  <a:pt x="311" y="427"/>
                  <a:pt x="311" y="428"/>
                  <a:pt x="311" y="430"/>
                </a:cubicBezTo>
                <a:cubicBezTo>
                  <a:pt x="311" y="465"/>
                  <a:pt x="311" y="465"/>
                  <a:pt x="311" y="465"/>
                </a:cubicBezTo>
                <a:cubicBezTo>
                  <a:pt x="311" y="465"/>
                  <a:pt x="311" y="465"/>
                  <a:pt x="311" y="466"/>
                </a:cubicBezTo>
                <a:cubicBezTo>
                  <a:pt x="311" y="467"/>
                  <a:pt x="311" y="469"/>
                  <a:pt x="312" y="471"/>
                </a:cubicBezTo>
                <a:cubicBezTo>
                  <a:pt x="311" y="472"/>
                  <a:pt x="311" y="473"/>
                  <a:pt x="311" y="475"/>
                </a:cubicBezTo>
                <a:cubicBezTo>
                  <a:pt x="311" y="510"/>
                  <a:pt x="311" y="510"/>
                  <a:pt x="311" y="510"/>
                </a:cubicBezTo>
                <a:cubicBezTo>
                  <a:pt x="311" y="510"/>
                  <a:pt x="311" y="510"/>
                  <a:pt x="311" y="511"/>
                </a:cubicBezTo>
                <a:cubicBezTo>
                  <a:pt x="311" y="512"/>
                  <a:pt x="311" y="514"/>
                  <a:pt x="312" y="516"/>
                </a:cubicBezTo>
                <a:cubicBezTo>
                  <a:pt x="311" y="517"/>
                  <a:pt x="311" y="518"/>
                  <a:pt x="311" y="520"/>
                </a:cubicBezTo>
                <a:cubicBezTo>
                  <a:pt x="311" y="555"/>
                  <a:pt x="311" y="555"/>
                  <a:pt x="311" y="555"/>
                </a:cubicBezTo>
                <a:cubicBezTo>
                  <a:pt x="311" y="557"/>
                  <a:pt x="311" y="558"/>
                  <a:pt x="311" y="559"/>
                </a:cubicBezTo>
                <a:cubicBezTo>
                  <a:pt x="311" y="560"/>
                  <a:pt x="311" y="561"/>
                  <a:pt x="311" y="562"/>
                </a:cubicBezTo>
                <a:cubicBezTo>
                  <a:pt x="311" y="582"/>
                  <a:pt x="311" y="582"/>
                  <a:pt x="311" y="582"/>
                </a:cubicBezTo>
                <a:cubicBezTo>
                  <a:pt x="259" y="582"/>
                  <a:pt x="259" y="582"/>
                  <a:pt x="259" y="582"/>
                </a:cubicBezTo>
                <a:lnTo>
                  <a:pt x="259" y="355"/>
                </a:lnTo>
                <a:close/>
                <a:moveTo>
                  <a:pt x="383" y="646"/>
                </a:moveTo>
                <a:cubicBezTo>
                  <a:pt x="351" y="646"/>
                  <a:pt x="331" y="640"/>
                  <a:pt x="327" y="637"/>
                </a:cubicBezTo>
                <a:cubicBezTo>
                  <a:pt x="327" y="613"/>
                  <a:pt x="327" y="613"/>
                  <a:pt x="327" y="613"/>
                </a:cubicBezTo>
                <a:cubicBezTo>
                  <a:pt x="344" y="619"/>
                  <a:pt x="372" y="620"/>
                  <a:pt x="383" y="620"/>
                </a:cubicBezTo>
                <a:cubicBezTo>
                  <a:pt x="394" y="620"/>
                  <a:pt x="422" y="619"/>
                  <a:pt x="440" y="613"/>
                </a:cubicBezTo>
                <a:cubicBezTo>
                  <a:pt x="440" y="621"/>
                  <a:pt x="440" y="621"/>
                  <a:pt x="440" y="621"/>
                </a:cubicBezTo>
                <a:cubicBezTo>
                  <a:pt x="440" y="621"/>
                  <a:pt x="440" y="621"/>
                  <a:pt x="440" y="621"/>
                </a:cubicBezTo>
                <a:cubicBezTo>
                  <a:pt x="440" y="621"/>
                  <a:pt x="440" y="621"/>
                  <a:pt x="440" y="621"/>
                </a:cubicBezTo>
                <a:cubicBezTo>
                  <a:pt x="440" y="637"/>
                  <a:pt x="440" y="637"/>
                  <a:pt x="440" y="637"/>
                </a:cubicBezTo>
                <a:cubicBezTo>
                  <a:pt x="435" y="640"/>
                  <a:pt x="415" y="646"/>
                  <a:pt x="383" y="646"/>
                </a:cubicBezTo>
                <a:close/>
                <a:moveTo>
                  <a:pt x="507" y="604"/>
                </a:moveTo>
                <a:cubicBezTo>
                  <a:pt x="506" y="605"/>
                  <a:pt x="502" y="607"/>
                  <a:pt x="494" y="609"/>
                </a:cubicBezTo>
                <a:cubicBezTo>
                  <a:pt x="484" y="611"/>
                  <a:pt x="470" y="613"/>
                  <a:pt x="456" y="613"/>
                </a:cubicBezTo>
                <a:cubicBezTo>
                  <a:pt x="456" y="603"/>
                  <a:pt x="456" y="603"/>
                  <a:pt x="456" y="603"/>
                </a:cubicBezTo>
                <a:cubicBezTo>
                  <a:pt x="456" y="602"/>
                  <a:pt x="456" y="601"/>
                  <a:pt x="455" y="600"/>
                </a:cubicBezTo>
                <a:cubicBezTo>
                  <a:pt x="456" y="599"/>
                  <a:pt x="456" y="598"/>
                  <a:pt x="456" y="597"/>
                </a:cubicBezTo>
                <a:cubicBezTo>
                  <a:pt x="456" y="587"/>
                  <a:pt x="456" y="587"/>
                  <a:pt x="456" y="587"/>
                </a:cubicBezTo>
                <a:cubicBezTo>
                  <a:pt x="472" y="587"/>
                  <a:pt x="486" y="585"/>
                  <a:pt x="498" y="583"/>
                </a:cubicBezTo>
                <a:cubicBezTo>
                  <a:pt x="500" y="582"/>
                  <a:pt x="503" y="581"/>
                  <a:pt x="507" y="580"/>
                </a:cubicBezTo>
                <a:lnTo>
                  <a:pt x="507" y="604"/>
                </a:lnTo>
                <a:close/>
                <a:moveTo>
                  <a:pt x="561" y="574"/>
                </a:moveTo>
                <a:cubicBezTo>
                  <a:pt x="561" y="577"/>
                  <a:pt x="559" y="579"/>
                  <a:pt x="556" y="579"/>
                </a:cubicBezTo>
                <a:cubicBezTo>
                  <a:pt x="523" y="579"/>
                  <a:pt x="523" y="579"/>
                  <a:pt x="523" y="579"/>
                </a:cubicBezTo>
                <a:cubicBezTo>
                  <a:pt x="523" y="570"/>
                  <a:pt x="523" y="570"/>
                  <a:pt x="523" y="570"/>
                </a:cubicBezTo>
                <a:cubicBezTo>
                  <a:pt x="523" y="569"/>
                  <a:pt x="523" y="569"/>
                  <a:pt x="522" y="568"/>
                </a:cubicBezTo>
                <a:cubicBezTo>
                  <a:pt x="523" y="567"/>
                  <a:pt x="523" y="566"/>
                  <a:pt x="523" y="564"/>
                </a:cubicBezTo>
                <a:cubicBezTo>
                  <a:pt x="523" y="562"/>
                  <a:pt x="523" y="562"/>
                  <a:pt x="523" y="562"/>
                </a:cubicBezTo>
                <a:cubicBezTo>
                  <a:pt x="532" y="562"/>
                  <a:pt x="532" y="562"/>
                  <a:pt x="532" y="562"/>
                </a:cubicBezTo>
                <a:cubicBezTo>
                  <a:pt x="536" y="562"/>
                  <a:pt x="540" y="558"/>
                  <a:pt x="540" y="554"/>
                </a:cubicBezTo>
                <a:cubicBezTo>
                  <a:pt x="540" y="549"/>
                  <a:pt x="536" y="546"/>
                  <a:pt x="532" y="546"/>
                </a:cubicBezTo>
                <a:cubicBezTo>
                  <a:pt x="523" y="546"/>
                  <a:pt x="523" y="546"/>
                  <a:pt x="523" y="546"/>
                </a:cubicBezTo>
                <a:cubicBezTo>
                  <a:pt x="523" y="529"/>
                  <a:pt x="523" y="529"/>
                  <a:pt x="523" y="529"/>
                </a:cubicBezTo>
                <a:cubicBezTo>
                  <a:pt x="523" y="528"/>
                  <a:pt x="523" y="527"/>
                  <a:pt x="522" y="526"/>
                </a:cubicBezTo>
                <a:cubicBezTo>
                  <a:pt x="523" y="525"/>
                  <a:pt x="523" y="524"/>
                  <a:pt x="523" y="523"/>
                </a:cubicBezTo>
                <a:cubicBezTo>
                  <a:pt x="523" y="487"/>
                  <a:pt x="523" y="487"/>
                  <a:pt x="523" y="487"/>
                </a:cubicBezTo>
                <a:cubicBezTo>
                  <a:pt x="523" y="486"/>
                  <a:pt x="522" y="484"/>
                  <a:pt x="522" y="483"/>
                </a:cubicBezTo>
                <a:cubicBezTo>
                  <a:pt x="522" y="481"/>
                  <a:pt x="523" y="480"/>
                  <a:pt x="523" y="478"/>
                </a:cubicBezTo>
                <a:cubicBezTo>
                  <a:pt x="523" y="442"/>
                  <a:pt x="523" y="442"/>
                  <a:pt x="523" y="442"/>
                </a:cubicBezTo>
                <a:cubicBezTo>
                  <a:pt x="523" y="441"/>
                  <a:pt x="522" y="439"/>
                  <a:pt x="522" y="438"/>
                </a:cubicBezTo>
                <a:cubicBezTo>
                  <a:pt x="522" y="437"/>
                  <a:pt x="523" y="435"/>
                  <a:pt x="523" y="433"/>
                </a:cubicBezTo>
                <a:cubicBezTo>
                  <a:pt x="523" y="397"/>
                  <a:pt x="523" y="397"/>
                  <a:pt x="523" y="397"/>
                </a:cubicBezTo>
                <a:cubicBezTo>
                  <a:pt x="523" y="396"/>
                  <a:pt x="522" y="394"/>
                  <a:pt x="522" y="393"/>
                </a:cubicBezTo>
                <a:cubicBezTo>
                  <a:pt x="522" y="392"/>
                  <a:pt x="522" y="392"/>
                  <a:pt x="522" y="391"/>
                </a:cubicBezTo>
                <a:cubicBezTo>
                  <a:pt x="532" y="391"/>
                  <a:pt x="532" y="391"/>
                  <a:pt x="532" y="391"/>
                </a:cubicBezTo>
                <a:cubicBezTo>
                  <a:pt x="536" y="391"/>
                  <a:pt x="540" y="387"/>
                  <a:pt x="540" y="383"/>
                </a:cubicBezTo>
                <a:cubicBezTo>
                  <a:pt x="540" y="378"/>
                  <a:pt x="536" y="375"/>
                  <a:pt x="532" y="375"/>
                </a:cubicBezTo>
                <a:cubicBezTo>
                  <a:pt x="523" y="375"/>
                  <a:pt x="523" y="375"/>
                  <a:pt x="523" y="375"/>
                </a:cubicBezTo>
                <a:cubicBezTo>
                  <a:pt x="523" y="355"/>
                  <a:pt x="523" y="355"/>
                  <a:pt x="523" y="355"/>
                </a:cubicBezTo>
                <a:cubicBezTo>
                  <a:pt x="556" y="355"/>
                  <a:pt x="556" y="355"/>
                  <a:pt x="556" y="355"/>
                </a:cubicBezTo>
                <a:cubicBezTo>
                  <a:pt x="557" y="355"/>
                  <a:pt x="559" y="356"/>
                  <a:pt x="559" y="356"/>
                </a:cubicBezTo>
                <a:cubicBezTo>
                  <a:pt x="560" y="357"/>
                  <a:pt x="561" y="358"/>
                  <a:pt x="561" y="360"/>
                </a:cubicBezTo>
                <a:lnTo>
                  <a:pt x="561" y="574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46" name="Freeform 37">
            <a:extLst>
              <a:ext uri="{FF2B5EF4-FFF2-40B4-BE49-F238E27FC236}">
                <a16:creationId xmlns:a16="http://schemas.microsoft.com/office/drawing/2014/main" id="{3FA28657-A711-4ACC-9875-01E3F1062D97}"/>
              </a:ext>
            </a:extLst>
          </xdr:cNvPr>
          <xdr:cNvSpPr>
            <a:spLocks/>
          </xdr:cNvSpPr>
        </xdr:nvSpPr>
        <xdr:spPr bwMode="auto">
          <a:xfrm>
            <a:off x="2817813" y="6069013"/>
            <a:ext cx="127000" cy="28575"/>
          </a:xfrm>
          <a:custGeom>
            <a:avLst/>
            <a:gdLst>
              <a:gd name="T0" fmla="*/ 8 w 70"/>
              <a:gd name="T1" fmla="*/ 16 h 16"/>
              <a:gd name="T2" fmla="*/ 63 w 70"/>
              <a:gd name="T3" fmla="*/ 16 h 16"/>
              <a:gd name="T4" fmla="*/ 70 w 70"/>
              <a:gd name="T5" fmla="*/ 8 h 16"/>
              <a:gd name="T6" fmla="*/ 63 w 70"/>
              <a:gd name="T7" fmla="*/ 0 h 16"/>
              <a:gd name="T8" fmla="*/ 8 w 70"/>
              <a:gd name="T9" fmla="*/ 0 h 16"/>
              <a:gd name="T10" fmla="*/ 0 w 70"/>
              <a:gd name="T11" fmla="*/ 8 h 16"/>
              <a:gd name="T12" fmla="*/ 8 w 70"/>
              <a:gd name="T13" fmla="*/ 16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70" h="16">
                <a:moveTo>
                  <a:pt x="8" y="16"/>
                </a:moveTo>
                <a:cubicBezTo>
                  <a:pt x="63" y="16"/>
                  <a:pt x="63" y="16"/>
                  <a:pt x="63" y="16"/>
                </a:cubicBezTo>
                <a:cubicBezTo>
                  <a:pt x="67" y="16"/>
                  <a:pt x="70" y="12"/>
                  <a:pt x="70" y="8"/>
                </a:cubicBezTo>
                <a:cubicBezTo>
                  <a:pt x="70" y="3"/>
                  <a:pt x="67" y="0"/>
                  <a:pt x="63" y="0"/>
                </a:cubicBezTo>
                <a:cubicBezTo>
                  <a:pt x="8" y="0"/>
                  <a:pt x="8" y="0"/>
                  <a:pt x="8" y="0"/>
                </a:cubicBezTo>
                <a:cubicBezTo>
                  <a:pt x="4" y="0"/>
                  <a:pt x="0" y="3"/>
                  <a:pt x="0" y="8"/>
                </a:cubicBezTo>
                <a:cubicBezTo>
                  <a:pt x="0" y="12"/>
                  <a:pt x="4" y="16"/>
                  <a:pt x="8" y="16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47" name="Freeform 38">
            <a:extLst>
              <a:ext uri="{FF2B5EF4-FFF2-40B4-BE49-F238E27FC236}">
                <a16:creationId xmlns:a16="http://schemas.microsoft.com/office/drawing/2014/main" id="{40B129C0-679C-4C6B-8D43-958FD6D90E43}"/>
              </a:ext>
            </a:extLst>
          </xdr:cNvPr>
          <xdr:cNvSpPr>
            <a:spLocks/>
          </xdr:cNvSpPr>
        </xdr:nvSpPr>
        <xdr:spPr bwMode="auto">
          <a:xfrm>
            <a:off x="2817813" y="6380163"/>
            <a:ext cx="127000" cy="28575"/>
          </a:xfrm>
          <a:custGeom>
            <a:avLst/>
            <a:gdLst>
              <a:gd name="T0" fmla="*/ 8 w 70"/>
              <a:gd name="T1" fmla="*/ 16 h 16"/>
              <a:gd name="T2" fmla="*/ 63 w 70"/>
              <a:gd name="T3" fmla="*/ 16 h 16"/>
              <a:gd name="T4" fmla="*/ 70 w 70"/>
              <a:gd name="T5" fmla="*/ 8 h 16"/>
              <a:gd name="T6" fmla="*/ 63 w 70"/>
              <a:gd name="T7" fmla="*/ 0 h 16"/>
              <a:gd name="T8" fmla="*/ 8 w 70"/>
              <a:gd name="T9" fmla="*/ 0 h 16"/>
              <a:gd name="T10" fmla="*/ 0 w 70"/>
              <a:gd name="T11" fmla="*/ 8 h 16"/>
              <a:gd name="T12" fmla="*/ 8 w 70"/>
              <a:gd name="T13" fmla="*/ 16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70" h="16">
                <a:moveTo>
                  <a:pt x="8" y="16"/>
                </a:moveTo>
                <a:cubicBezTo>
                  <a:pt x="63" y="16"/>
                  <a:pt x="63" y="16"/>
                  <a:pt x="63" y="16"/>
                </a:cubicBezTo>
                <a:cubicBezTo>
                  <a:pt x="67" y="16"/>
                  <a:pt x="70" y="12"/>
                  <a:pt x="70" y="8"/>
                </a:cubicBezTo>
                <a:cubicBezTo>
                  <a:pt x="70" y="3"/>
                  <a:pt x="67" y="0"/>
                  <a:pt x="63" y="0"/>
                </a:cubicBezTo>
                <a:cubicBezTo>
                  <a:pt x="8" y="0"/>
                  <a:pt x="8" y="0"/>
                  <a:pt x="8" y="0"/>
                </a:cubicBezTo>
                <a:cubicBezTo>
                  <a:pt x="4" y="0"/>
                  <a:pt x="0" y="3"/>
                  <a:pt x="0" y="8"/>
                </a:cubicBezTo>
                <a:cubicBezTo>
                  <a:pt x="0" y="12"/>
                  <a:pt x="4" y="16"/>
                  <a:pt x="8" y="16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48" name="Freeform 39">
            <a:extLst>
              <a:ext uri="{FF2B5EF4-FFF2-40B4-BE49-F238E27FC236}">
                <a16:creationId xmlns:a16="http://schemas.microsoft.com/office/drawing/2014/main" id="{39C4A699-C4AA-4E05-B62D-7D79C0021416}"/>
              </a:ext>
            </a:extLst>
          </xdr:cNvPr>
          <xdr:cNvSpPr>
            <a:spLocks noEditPoints="1"/>
          </xdr:cNvSpPr>
        </xdr:nvSpPr>
        <xdr:spPr bwMode="auto">
          <a:xfrm>
            <a:off x="2906713" y="6180138"/>
            <a:ext cx="114300" cy="115887"/>
          </a:xfrm>
          <a:custGeom>
            <a:avLst/>
            <a:gdLst>
              <a:gd name="T0" fmla="*/ 0 w 63"/>
              <a:gd name="T1" fmla="*/ 32 h 64"/>
              <a:gd name="T2" fmla="*/ 31 w 63"/>
              <a:gd name="T3" fmla="*/ 64 h 64"/>
              <a:gd name="T4" fmla="*/ 63 w 63"/>
              <a:gd name="T5" fmla="*/ 32 h 64"/>
              <a:gd name="T6" fmla="*/ 31 w 63"/>
              <a:gd name="T7" fmla="*/ 0 h 64"/>
              <a:gd name="T8" fmla="*/ 0 w 63"/>
              <a:gd name="T9" fmla="*/ 32 h 64"/>
              <a:gd name="T10" fmla="*/ 31 w 63"/>
              <a:gd name="T11" fmla="*/ 16 h 64"/>
              <a:gd name="T12" fmla="*/ 47 w 63"/>
              <a:gd name="T13" fmla="*/ 32 h 64"/>
              <a:gd name="T14" fmla="*/ 31 w 63"/>
              <a:gd name="T15" fmla="*/ 48 h 64"/>
              <a:gd name="T16" fmla="*/ 15 w 63"/>
              <a:gd name="T17" fmla="*/ 32 h 64"/>
              <a:gd name="T18" fmla="*/ 31 w 63"/>
              <a:gd name="T19" fmla="*/ 16 h 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63" h="64">
                <a:moveTo>
                  <a:pt x="0" y="32"/>
                </a:moveTo>
                <a:cubicBezTo>
                  <a:pt x="0" y="49"/>
                  <a:pt x="14" y="64"/>
                  <a:pt x="31" y="64"/>
                </a:cubicBezTo>
                <a:cubicBezTo>
                  <a:pt x="49" y="64"/>
                  <a:pt x="63" y="49"/>
                  <a:pt x="63" y="32"/>
                </a:cubicBezTo>
                <a:cubicBezTo>
                  <a:pt x="63" y="14"/>
                  <a:pt x="49" y="0"/>
                  <a:pt x="31" y="0"/>
                </a:cubicBezTo>
                <a:cubicBezTo>
                  <a:pt x="14" y="0"/>
                  <a:pt x="0" y="14"/>
                  <a:pt x="0" y="32"/>
                </a:cubicBezTo>
                <a:close/>
                <a:moveTo>
                  <a:pt x="31" y="16"/>
                </a:moveTo>
                <a:cubicBezTo>
                  <a:pt x="40" y="16"/>
                  <a:pt x="47" y="23"/>
                  <a:pt x="47" y="32"/>
                </a:cubicBezTo>
                <a:cubicBezTo>
                  <a:pt x="47" y="40"/>
                  <a:pt x="40" y="48"/>
                  <a:pt x="31" y="48"/>
                </a:cubicBezTo>
                <a:cubicBezTo>
                  <a:pt x="23" y="48"/>
                  <a:pt x="15" y="40"/>
                  <a:pt x="15" y="32"/>
                </a:cubicBezTo>
                <a:cubicBezTo>
                  <a:pt x="15" y="23"/>
                  <a:pt x="23" y="16"/>
                  <a:pt x="31" y="16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49" name="Freeform 40">
            <a:extLst>
              <a:ext uri="{FF2B5EF4-FFF2-40B4-BE49-F238E27FC236}">
                <a16:creationId xmlns:a16="http://schemas.microsoft.com/office/drawing/2014/main" id="{860E7167-1507-4161-AB41-04BDB435FBB9}"/>
              </a:ext>
            </a:extLst>
          </xdr:cNvPr>
          <xdr:cNvSpPr>
            <a:spLocks/>
          </xdr:cNvSpPr>
        </xdr:nvSpPr>
        <xdr:spPr bwMode="auto">
          <a:xfrm>
            <a:off x="2959100" y="5516563"/>
            <a:ext cx="28575" cy="127000"/>
          </a:xfrm>
          <a:custGeom>
            <a:avLst/>
            <a:gdLst>
              <a:gd name="T0" fmla="*/ 8 w 16"/>
              <a:gd name="T1" fmla="*/ 70 h 70"/>
              <a:gd name="T2" fmla="*/ 16 w 16"/>
              <a:gd name="T3" fmla="*/ 62 h 70"/>
              <a:gd name="T4" fmla="*/ 16 w 16"/>
              <a:gd name="T5" fmla="*/ 8 h 70"/>
              <a:gd name="T6" fmla="*/ 8 w 16"/>
              <a:gd name="T7" fmla="*/ 0 h 70"/>
              <a:gd name="T8" fmla="*/ 0 w 16"/>
              <a:gd name="T9" fmla="*/ 8 h 70"/>
              <a:gd name="T10" fmla="*/ 0 w 16"/>
              <a:gd name="T11" fmla="*/ 62 h 70"/>
              <a:gd name="T12" fmla="*/ 8 w 16"/>
              <a:gd name="T13" fmla="*/ 70 h 7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6" h="70">
                <a:moveTo>
                  <a:pt x="8" y="70"/>
                </a:moveTo>
                <a:cubicBezTo>
                  <a:pt x="12" y="70"/>
                  <a:pt x="16" y="66"/>
                  <a:pt x="16" y="62"/>
                </a:cubicBezTo>
                <a:cubicBezTo>
                  <a:pt x="16" y="8"/>
                  <a:pt x="16" y="8"/>
                  <a:pt x="16" y="8"/>
                </a:cubicBezTo>
                <a:cubicBezTo>
                  <a:pt x="16" y="3"/>
                  <a:pt x="12" y="0"/>
                  <a:pt x="8" y="0"/>
                </a:cubicBezTo>
                <a:cubicBezTo>
                  <a:pt x="3" y="0"/>
                  <a:pt x="0" y="3"/>
                  <a:pt x="0" y="8"/>
                </a:cubicBezTo>
                <a:cubicBezTo>
                  <a:pt x="0" y="62"/>
                  <a:pt x="0" y="62"/>
                  <a:pt x="0" y="62"/>
                </a:cubicBezTo>
                <a:cubicBezTo>
                  <a:pt x="0" y="66"/>
                  <a:pt x="3" y="70"/>
                  <a:pt x="8" y="7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61" name="Freeform 41">
            <a:extLst>
              <a:ext uri="{FF2B5EF4-FFF2-40B4-BE49-F238E27FC236}">
                <a16:creationId xmlns:a16="http://schemas.microsoft.com/office/drawing/2014/main" id="{258BBD69-9542-4D11-A549-417A4684B451}"/>
              </a:ext>
            </a:extLst>
          </xdr:cNvPr>
          <xdr:cNvSpPr>
            <a:spLocks/>
          </xdr:cNvSpPr>
        </xdr:nvSpPr>
        <xdr:spPr bwMode="auto">
          <a:xfrm>
            <a:off x="3270250" y="5516563"/>
            <a:ext cx="28575" cy="127000"/>
          </a:xfrm>
          <a:custGeom>
            <a:avLst/>
            <a:gdLst>
              <a:gd name="T0" fmla="*/ 8 w 16"/>
              <a:gd name="T1" fmla="*/ 70 h 70"/>
              <a:gd name="T2" fmla="*/ 16 w 16"/>
              <a:gd name="T3" fmla="*/ 62 h 70"/>
              <a:gd name="T4" fmla="*/ 16 w 16"/>
              <a:gd name="T5" fmla="*/ 8 h 70"/>
              <a:gd name="T6" fmla="*/ 8 w 16"/>
              <a:gd name="T7" fmla="*/ 0 h 70"/>
              <a:gd name="T8" fmla="*/ 0 w 16"/>
              <a:gd name="T9" fmla="*/ 8 h 70"/>
              <a:gd name="T10" fmla="*/ 0 w 16"/>
              <a:gd name="T11" fmla="*/ 62 h 70"/>
              <a:gd name="T12" fmla="*/ 8 w 16"/>
              <a:gd name="T13" fmla="*/ 70 h 7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6" h="70">
                <a:moveTo>
                  <a:pt x="8" y="70"/>
                </a:moveTo>
                <a:cubicBezTo>
                  <a:pt x="12" y="70"/>
                  <a:pt x="16" y="66"/>
                  <a:pt x="16" y="62"/>
                </a:cubicBezTo>
                <a:cubicBezTo>
                  <a:pt x="16" y="8"/>
                  <a:pt x="16" y="8"/>
                  <a:pt x="16" y="8"/>
                </a:cubicBezTo>
                <a:cubicBezTo>
                  <a:pt x="16" y="3"/>
                  <a:pt x="12" y="0"/>
                  <a:pt x="8" y="0"/>
                </a:cubicBezTo>
                <a:cubicBezTo>
                  <a:pt x="3" y="0"/>
                  <a:pt x="0" y="3"/>
                  <a:pt x="0" y="8"/>
                </a:cubicBezTo>
                <a:cubicBezTo>
                  <a:pt x="0" y="62"/>
                  <a:pt x="0" y="62"/>
                  <a:pt x="0" y="62"/>
                </a:cubicBezTo>
                <a:cubicBezTo>
                  <a:pt x="0" y="66"/>
                  <a:pt x="3" y="70"/>
                  <a:pt x="8" y="70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  <xdr:sp macro="" textlink="">
        <xdr:nvSpPr>
          <xdr:cNvPr id="62" name="Freeform 42">
            <a:extLst>
              <a:ext uri="{FF2B5EF4-FFF2-40B4-BE49-F238E27FC236}">
                <a16:creationId xmlns:a16="http://schemas.microsoft.com/office/drawing/2014/main" id="{83A54275-057F-4B70-AB26-F74F3AB97A4A}"/>
              </a:ext>
            </a:extLst>
          </xdr:cNvPr>
          <xdr:cNvSpPr>
            <a:spLocks noEditPoints="1"/>
          </xdr:cNvSpPr>
        </xdr:nvSpPr>
        <xdr:spPr bwMode="auto">
          <a:xfrm>
            <a:off x="3070225" y="5603875"/>
            <a:ext cx="115888" cy="115887"/>
          </a:xfrm>
          <a:custGeom>
            <a:avLst/>
            <a:gdLst>
              <a:gd name="T0" fmla="*/ 32 w 64"/>
              <a:gd name="T1" fmla="*/ 64 h 64"/>
              <a:gd name="T2" fmla="*/ 64 w 64"/>
              <a:gd name="T3" fmla="*/ 32 h 64"/>
              <a:gd name="T4" fmla="*/ 32 w 64"/>
              <a:gd name="T5" fmla="*/ 0 h 64"/>
              <a:gd name="T6" fmla="*/ 0 w 64"/>
              <a:gd name="T7" fmla="*/ 32 h 64"/>
              <a:gd name="T8" fmla="*/ 32 w 64"/>
              <a:gd name="T9" fmla="*/ 64 h 64"/>
              <a:gd name="T10" fmla="*/ 32 w 64"/>
              <a:gd name="T11" fmla="*/ 16 h 64"/>
              <a:gd name="T12" fmla="*/ 48 w 64"/>
              <a:gd name="T13" fmla="*/ 32 h 64"/>
              <a:gd name="T14" fmla="*/ 32 w 64"/>
              <a:gd name="T15" fmla="*/ 48 h 64"/>
              <a:gd name="T16" fmla="*/ 16 w 64"/>
              <a:gd name="T17" fmla="*/ 32 h 64"/>
              <a:gd name="T18" fmla="*/ 32 w 64"/>
              <a:gd name="T19" fmla="*/ 16 h 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64" h="64">
                <a:moveTo>
                  <a:pt x="32" y="64"/>
                </a:moveTo>
                <a:cubicBezTo>
                  <a:pt x="49" y="64"/>
                  <a:pt x="64" y="50"/>
                  <a:pt x="64" y="32"/>
                </a:cubicBezTo>
                <a:cubicBezTo>
                  <a:pt x="64" y="14"/>
                  <a:pt x="49" y="0"/>
                  <a:pt x="32" y="0"/>
                </a:cubicBezTo>
                <a:cubicBezTo>
                  <a:pt x="14" y="0"/>
                  <a:pt x="0" y="14"/>
                  <a:pt x="0" y="32"/>
                </a:cubicBezTo>
                <a:cubicBezTo>
                  <a:pt x="0" y="50"/>
                  <a:pt x="14" y="64"/>
                  <a:pt x="32" y="64"/>
                </a:cubicBezTo>
                <a:close/>
                <a:moveTo>
                  <a:pt x="32" y="16"/>
                </a:moveTo>
                <a:cubicBezTo>
                  <a:pt x="41" y="16"/>
                  <a:pt x="48" y="23"/>
                  <a:pt x="48" y="32"/>
                </a:cubicBezTo>
                <a:cubicBezTo>
                  <a:pt x="48" y="41"/>
                  <a:pt x="41" y="48"/>
                  <a:pt x="32" y="48"/>
                </a:cubicBezTo>
                <a:cubicBezTo>
                  <a:pt x="23" y="48"/>
                  <a:pt x="16" y="41"/>
                  <a:pt x="16" y="32"/>
                </a:cubicBezTo>
                <a:cubicBezTo>
                  <a:pt x="16" y="23"/>
                  <a:pt x="23" y="16"/>
                  <a:pt x="32" y="16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id-ID"/>
          </a:p>
        </xdr:txBody>
      </xdr:sp>
    </xdr:grpSp>
    <xdr:clientData/>
  </xdr:twoCellAnchor>
  <xdr:oneCellAnchor>
    <xdr:from>
      <xdr:col>4</xdr:col>
      <xdr:colOff>329286</xdr:colOff>
      <xdr:row>25</xdr:row>
      <xdr:rowOff>204109</xdr:rowOff>
    </xdr:from>
    <xdr:ext cx="2178994" cy="438710"/>
    <xdr:sp macro="" textlink="">
      <xdr:nvSpPr>
        <xdr:cNvPr id="67" name="CaixaDeTexto 66">
          <a:extLst>
            <a:ext uri="{FF2B5EF4-FFF2-40B4-BE49-F238E27FC236}">
              <a16:creationId xmlns:a16="http://schemas.microsoft.com/office/drawing/2014/main" id="{D96EBD18-DC01-491C-946B-B9D7F7AB810D}"/>
            </a:ext>
          </a:extLst>
        </xdr:cNvPr>
        <xdr:cNvSpPr txBox="1"/>
      </xdr:nvSpPr>
      <xdr:spPr>
        <a:xfrm>
          <a:off x="5510886" y="7747909"/>
          <a:ext cx="2178994" cy="4387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b="0">
              <a:solidFill>
                <a:schemeClr val="tx2">
                  <a:lumMod val="50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Giro de Estoque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1012042</xdr:colOff>
          <xdr:row>27</xdr:row>
          <xdr:rowOff>209315</xdr:rowOff>
        </xdr:from>
        <xdr:to>
          <xdr:col>5</xdr:col>
          <xdr:colOff>269752</xdr:colOff>
          <xdr:row>28</xdr:row>
          <xdr:rowOff>212505</xdr:rowOff>
        </xdr:to>
        <xdr:pic>
          <xdr:nvPicPr>
            <xdr:cNvPr id="68" name="Imagem 67">
              <a:extLst>
                <a:ext uri="{FF2B5EF4-FFF2-40B4-BE49-F238E27FC236}">
                  <a16:creationId xmlns:a16="http://schemas.microsoft.com/office/drawing/2014/main" id="{63BBD4E7-B224-4488-8FDA-E771E7AC080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poio Graf'!$C$102" spid="_x0000_s18057"/>
                </a:ext>
              </a:extLst>
            </xdr:cNvPicPr>
          </xdr:nvPicPr>
          <xdr:blipFill rotWithShape="1">
            <a:blip xmlns:r="http://schemas.openxmlformats.org/officeDocument/2006/relationships" r:embed="rId10"/>
            <a:srcRect l="40228" t="9585" r="11168" b="13738"/>
            <a:stretch>
              <a:fillRect/>
            </a:stretch>
          </xdr:blipFill>
          <xdr:spPr bwMode="auto">
            <a:xfrm>
              <a:off x="6193642" y="8381765"/>
              <a:ext cx="686460" cy="3460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20</xdr:col>
      <xdr:colOff>246675</xdr:colOff>
      <xdr:row>28</xdr:row>
      <xdr:rowOff>163452</xdr:rowOff>
    </xdr:from>
    <xdr:to>
      <xdr:col>22</xdr:col>
      <xdr:colOff>90869</xdr:colOff>
      <xdr:row>32</xdr:row>
      <xdr:rowOff>34244</xdr:rowOff>
    </xdr:to>
    <xdr:grpSp>
      <xdr:nvGrpSpPr>
        <xdr:cNvPr id="327" name="Group 4">
          <a:extLst>
            <a:ext uri="{FF2B5EF4-FFF2-40B4-BE49-F238E27FC236}">
              <a16:creationId xmlns:a16="http://schemas.microsoft.com/office/drawing/2014/main" id="{5C398BE2-57F8-4ADE-9E3D-0D98F0008F7E}"/>
            </a:ext>
          </a:extLst>
        </xdr:cNvPr>
        <xdr:cNvGrpSpPr>
          <a:grpSpLocks noChangeAspect="1"/>
        </xdr:cNvGrpSpPr>
      </xdr:nvGrpSpPr>
      <xdr:grpSpPr bwMode="auto">
        <a:xfrm>
          <a:off x="21049275" y="8678802"/>
          <a:ext cx="1596794" cy="1242392"/>
          <a:chOff x="873" y="2048"/>
          <a:chExt cx="1649" cy="1350"/>
        </a:xfrm>
      </xdr:grpSpPr>
      <xdr:sp macro="" textlink="">
        <xdr:nvSpPr>
          <xdr:cNvPr id="328" name="Freeform 5">
            <a:extLst>
              <a:ext uri="{FF2B5EF4-FFF2-40B4-BE49-F238E27FC236}">
                <a16:creationId xmlns:a16="http://schemas.microsoft.com/office/drawing/2014/main" id="{95731ABB-0738-4C61-AAF6-BCB5E6F7169F}"/>
              </a:ext>
            </a:extLst>
          </xdr:cNvPr>
          <xdr:cNvSpPr>
            <a:spLocks/>
          </xdr:cNvSpPr>
        </xdr:nvSpPr>
        <xdr:spPr bwMode="auto">
          <a:xfrm>
            <a:off x="1061" y="2048"/>
            <a:ext cx="628" cy="731"/>
          </a:xfrm>
          <a:custGeom>
            <a:avLst/>
            <a:gdLst>
              <a:gd name="T0" fmla="*/ 0 w 265"/>
              <a:gd name="T1" fmla="*/ 308 h 308"/>
              <a:gd name="T2" fmla="*/ 22 w 265"/>
              <a:gd name="T3" fmla="*/ 0 h 308"/>
              <a:gd name="T4" fmla="*/ 46 w 265"/>
              <a:gd name="T5" fmla="*/ 22 h 308"/>
              <a:gd name="T6" fmla="*/ 53 w 265"/>
              <a:gd name="T7" fmla="*/ 220 h 308"/>
              <a:gd name="T8" fmla="*/ 60 w 265"/>
              <a:gd name="T9" fmla="*/ 22 h 308"/>
              <a:gd name="T10" fmla="*/ 83 w 265"/>
              <a:gd name="T11" fmla="*/ 0 h 308"/>
              <a:gd name="T12" fmla="*/ 105 w 265"/>
              <a:gd name="T13" fmla="*/ 203 h 308"/>
              <a:gd name="T14" fmla="*/ 115 w 265"/>
              <a:gd name="T15" fmla="*/ 211 h 308"/>
              <a:gd name="T16" fmla="*/ 123 w 265"/>
              <a:gd name="T17" fmla="*/ 27 h 308"/>
              <a:gd name="T18" fmla="*/ 166 w 265"/>
              <a:gd name="T19" fmla="*/ 27 h 308"/>
              <a:gd name="T20" fmla="*/ 174 w 265"/>
              <a:gd name="T21" fmla="*/ 214 h 308"/>
              <a:gd name="T22" fmla="*/ 185 w 265"/>
              <a:gd name="T23" fmla="*/ 206 h 308"/>
              <a:gd name="T24" fmla="*/ 207 w 265"/>
              <a:gd name="T25" fmla="*/ 6 h 308"/>
              <a:gd name="T26" fmla="*/ 234 w 265"/>
              <a:gd name="T27" fmla="*/ 28 h 308"/>
              <a:gd name="T28" fmla="*/ 241 w 265"/>
              <a:gd name="T29" fmla="*/ 214 h 308"/>
              <a:gd name="T30" fmla="*/ 250 w 265"/>
              <a:gd name="T31" fmla="*/ 213 h 308"/>
              <a:gd name="T32" fmla="*/ 265 w 265"/>
              <a:gd name="T33" fmla="*/ 210 h 308"/>
              <a:gd name="T34" fmla="*/ 243 w 265"/>
              <a:gd name="T35" fmla="*/ 229 h 308"/>
              <a:gd name="T36" fmla="*/ 219 w 265"/>
              <a:gd name="T37" fmla="*/ 206 h 308"/>
              <a:gd name="T38" fmla="*/ 212 w 265"/>
              <a:gd name="T39" fmla="*/ 20 h 308"/>
              <a:gd name="T40" fmla="*/ 200 w 265"/>
              <a:gd name="T41" fmla="*/ 28 h 308"/>
              <a:gd name="T42" fmla="*/ 178 w 265"/>
              <a:gd name="T43" fmla="*/ 229 h 308"/>
              <a:gd name="T44" fmla="*/ 152 w 265"/>
              <a:gd name="T45" fmla="*/ 206 h 308"/>
              <a:gd name="T46" fmla="*/ 145 w 265"/>
              <a:gd name="T47" fmla="*/ 20 h 308"/>
              <a:gd name="T48" fmla="*/ 138 w 265"/>
              <a:gd name="T49" fmla="*/ 203 h 308"/>
              <a:gd name="T50" fmla="*/ 113 w 265"/>
              <a:gd name="T51" fmla="*/ 225 h 308"/>
              <a:gd name="T52" fmla="*/ 91 w 265"/>
              <a:gd name="T53" fmla="*/ 22 h 308"/>
              <a:gd name="T54" fmla="*/ 82 w 265"/>
              <a:gd name="T55" fmla="*/ 15 h 308"/>
              <a:gd name="T56" fmla="*/ 74 w 265"/>
              <a:gd name="T57" fmla="*/ 213 h 308"/>
              <a:gd name="T58" fmla="*/ 31 w 265"/>
              <a:gd name="T59" fmla="*/ 213 h 308"/>
              <a:gd name="T60" fmla="*/ 23 w 265"/>
              <a:gd name="T61" fmla="*/ 15 h 308"/>
              <a:gd name="T62" fmla="*/ 14 w 265"/>
              <a:gd name="T63" fmla="*/ 22 h 3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65" h="308">
                <a:moveTo>
                  <a:pt x="14" y="308"/>
                </a:moveTo>
                <a:cubicBezTo>
                  <a:pt x="0" y="308"/>
                  <a:pt x="0" y="308"/>
                  <a:pt x="0" y="308"/>
                </a:cubicBezTo>
                <a:cubicBezTo>
                  <a:pt x="0" y="22"/>
                  <a:pt x="0" y="22"/>
                  <a:pt x="0" y="22"/>
                </a:cubicBezTo>
                <a:cubicBezTo>
                  <a:pt x="0" y="10"/>
                  <a:pt x="10" y="0"/>
                  <a:pt x="22" y="0"/>
                </a:cubicBezTo>
                <a:cubicBezTo>
                  <a:pt x="23" y="0"/>
                  <a:pt x="23" y="0"/>
                  <a:pt x="23" y="0"/>
                </a:cubicBezTo>
                <a:cubicBezTo>
                  <a:pt x="36" y="0"/>
                  <a:pt x="46" y="10"/>
                  <a:pt x="46" y="22"/>
                </a:cubicBezTo>
                <a:cubicBezTo>
                  <a:pt x="46" y="213"/>
                  <a:pt x="46" y="213"/>
                  <a:pt x="46" y="213"/>
                </a:cubicBezTo>
                <a:cubicBezTo>
                  <a:pt x="46" y="217"/>
                  <a:pt x="49" y="220"/>
                  <a:pt x="53" y="220"/>
                </a:cubicBezTo>
                <a:cubicBezTo>
                  <a:pt x="56" y="220"/>
                  <a:pt x="60" y="217"/>
                  <a:pt x="60" y="213"/>
                </a:cubicBezTo>
                <a:cubicBezTo>
                  <a:pt x="60" y="22"/>
                  <a:pt x="60" y="22"/>
                  <a:pt x="60" y="22"/>
                </a:cubicBezTo>
                <a:cubicBezTo>
                  <a:pt x="60" y="10"/>
                  <a:pt x="69" y="0"/>
                  <a:pt x="82" y="0"/>
                </a:cubicBezTo>
                <a:cubicBezTo>
                  <a:pt x="83" y="0"/>
                  <a:pt x="83" y="0"/>
                  <a:pt x="83" y="0"/>
                </a:cubicBezTo>
                <a:cubicBezTo>
                  <a:pt x="95" y="0"/>
                  <a:pt x="105" y="10"/>
                  <a:pt x="105" y="22"/>
                </a:cubicBezTo>
                <a:cubicBezTo>
                  <a:pt x="105" y="203"/>
                  <a:pt x="105" y="203"/>
                  <a:pt x="105" y="203"/>
                </a:cubicBezTo>
                <a:cubicBezTo>
                  <a:pt x="105" y="207"/>
                  <a:pt x="109" y="211"/>
                  <a:pt x="113" y="211"/>
                </a:cubicBezTo>
                <a:cubicBezTo>
                  <a:pt x="115" y="211"/>
                  <a:pt x="115" y="211"/>
                  <a:pt x="115" y="211"/>
                </a:cubicBezTo>
                <a:cubicBezTo>
                  <a:pt x="120" y="211"/>
                  <a:pt x="123" y="207"/>
                  <a:pt x="123" y="203"/>
                </a:cubicBezTo>
                <a:cubicBezTo>
                  <a:pt x="123" y="27"/>
                  <a:pt x="123" y="27"/>
                  <a:pt x="123" y="27"/>
                </a:cubicBezTo>
                <a:cubicBezTo>
                  <a:pt x="123" y="15"/>
                  <a:pt x="133" y="5"/>
                  <a:pt x="145" y="5"/>
                </a:cubicBezTo>
                <a:cubicBezTo>
                  <a:pt x="157" y="5"/>
                  <a:pt x="166" y="15"/>
                  <a:pt x="166" y="27"/>
                </a:cubicBezTo>
                <a:cubicBezTo>
                  <a:pt x="166" y="206"/>
                  <a:pt x="166" y="206"/>
                  <a:pt x="166" y="206"/>
                </a:cubicBezTo>
                <a:cubicBezTo>
                  <a:pt x="166" y="211"/>
                  <a:pt x="170" y="214"/>
                  <a:pt x="174" y="214"/>
                </a:cubicBezTo>
                <a:cubicBezTo>
                  <a:pt x="178" y="214"/>
                  <a:pt x="178" y="214"/>
                  <a:pt x="178" y="214"/>
                </a:cubicBezTo>
                <a:cubicBezTo>
                  <a:pt x="182" y="214"/>
                  <a:pt x="185" y="211"/>
                  <a:pt x="185" y="206"/>
                </a:cubicBezTo>
                <a:cubicBezTo>
                  <a:pt x="185" y="28"/>
                  <a:pt x="185" y="28"/>
                  <a:pt x="185" y="28"/>
                </a:cubicBezTo>
                <a:cubicBezTo>
                  <a:pt x="185" y="15"/>
                  <a:pt x="195" y="6"/>
                  <a:pt x="207" y="6"/>
                </a:cubicBezTo>
                <a:cubicBezTo>
                  <a:pt x="212" y="6"/>
                  <a:pt x="212" y="6"/>
                  <a:pt x="212" y="6"/>
                </a:cubicBezTo>
                <a:cubicBezTo>
                  <a:pt x="224" y="6"/>
                  <a:pt x="234" y="15"/>
                  <a:pt x="234" y="28"/>
                </a:cubicBezTo>
                <a:cubicBezTo>
                  <a:pt x="234" y="206"/>
                  <a:pt x="234" y="206"/>
                  <a:pt x="234" y="206"/>
                </a:cubicBezTo>
                <a:cubicBezTo>
                  <a:pt x="234" y="211"/>
                  <a:pt x="237" y="214"/>
                  <a:pt x="241" y="214"/>
                </a:cubicBezTo>
                <a:cubicBezTo>
                  <a:pt x="243" y="214"/>
                  <a:pt x="243" y="214"/>
                  <a:pt x="243" y="214"/>
                </a:cubicBezTo>
                <a:cubicBezTo>
                  <a:pt x="246" y="214"/>
                  <a:pt x="249" y="213"/>
                  <a:pt x="250" y="213"/>
                </a:cubicBezTo>
                <a:cubicBezTo>
                  <a:pt x="250" y="210"/>
                  <a:pt x="250" y="210"/>
                  <a:pt x="250" y="210"/>
                </a:cubicBezTo>
                <a:cubicBezTo>
                  <a:pt x="265" y="210"/>
                  <a:pt x="265" y="210"/>
                  <a:pt x="265" y="210"/>
                </a:cubicBezTo>
                <a:cubicBezTo>
                  <a:pt x="265" y="216"/>
                  <a:pt x="265" y="216"/>
                  <a:pt x="265" y="216"/>
                </a:cubicBezTo>
                <a:cubicBezTo>
                  <a:pt x="265" y="224"/>
                  <a:pt x="257" y="229"/>
                  <a:pt x="243" y="229"/>
                </a:cubicBezTo>
                <a:cubicBezTo>
                  <a:pt x="241" y="229"/>
                  <a:pt x="241" y="229"/>
                  <a:pt x="241" y="229"/>
                </a:cubicBezTo>
                <a:cubicBezTo>
                  <a:pt x="229" y="229"/>
                  <a:pt x="219" y="219"/>
                  <a:pt x="219" y="206"/>
                </a:cubicBezTo>
                <a:cubicBezTo>
                  <a:pt x="219" y="28"/>
                  <a:pt x="219" y="28"/>
                  <a:pt x="219" y="28"/>
                </a:cubicBezTo>
                <a:cubicBezTo>
                  <a:pt x="219" y="24"/>
                  <a:pt x="216" y="20"/>
                  <a:pt x="212" y="20"/>
                </a:cubicBezTo>
                <a:cubicBezTo>
                  <a:pt x="207" y="20"/>
                  <a:pt x="207" y="20"/>
                  <a:pt x="207" y="20"/>
                </a:cubicBezTo>
                <a:cubicBezTo>
                  <a:pt x="203" y="20"/>
                  <a:pt x="200" y="24"/>
                  <a:pt x="200" y="28"/>
                </a:cubicBezTo>
                <a:cubicBezTo>
                  <a:pt x="200" y="206"/>
                  <a:pt x="200" y="206"/>
                  <a:pt x="200" y="206"/>
                </a:cubicBezTo>
                <a:cubicBezTo>
                  <a:pt x="200" y="219"/>
                  <a:pt x="190" y="229"/>
                  <a:pt x="178" y="229"/>
                </a:cubicBezTo>
                <a:cubicBezTo>
                  <a:pt x="174" y="229"/>
                  <a:pt x="174" y="229"/>
                  <a:pt x="174" y="229"/>
                </a:cubicBezTo>
                <a:cubicBezTo>
                  <a:pt x="161" y="229"/>
                  <a:pt x="152" y="219"/>
                  <a:pt x="152" y="206"/>
                </a:cubicBezTo>
                <a:cubicBezTo>
                  <a:pt x="152" y="27"/>
                  <a:pt x="152" y="27"/>
                  <a:pt x="152" y="27"/>
                </a:cubicBezTo>
                <a:cubicBezTo>
                  <a:pt x="152" y="23"/>
                  <a:pt x="148" y="20"/>
                  <a:pt x="145" y="20"/>
                </a:cubicBezTo>
                <a:cubicBezTo>
                  <a:pt x="141" y="20"/>
                  <a:pt x="138" y="23"/>
                  <a:pt x="138" y="27"/>
                </a:cubicBezTo>
                <a:cubicBezTo>
                  <a:pt x="138" y="203"/>
                  <a:pt x="138" y="203"/>
                  <a:pt x="138" y="203"/>
                </a:cubicBezTo>
                <a:cubicBezTo>
                  <a:pt x="138" y="215"/>
                  <a:pt x="128" y="225"/>
                  <a:pt x="115" y="225"/>
                </a:cubicBezTo>
                <a:cubicBezTo>
                  <a:pt x="113" y="225"/>
                  <a:pt x="113" y="225"/>
                  <a:pt x="113" y="225"/>
                </a:cubicBezTo>
                <a:cubicBezTo>
                  <a:pt x="101" y="225"/>
                  <a:pt x="91" y="215"/>
                  <a:pt x="91" y="203"/>
                </a:cubicBezTo>
                <a:cubicBezTo>
                  <a:pt x="91" y="22"/>
                  <a:pt x="91" y="22"/>
                  <a:pt x="91" y="22"/>
                </a:cubicBezTo>
                <a:cubicBezTo>
                  <a:pt x="91" y="18"/>
                  <a:pt x="87" y="15"/>
                  <a:pt x="83" y="15"/>
                </a:cubicBezTo>
                <a:cubicBezTo>
                  <a:pt x="82" y="15"/>
                  <a:pt x="82" y="15"/>
                  <a:pt x="82" y="15"/>
                </a:cubicBezTo>
                <a:cubicBezTo>
                  <a:pt x="78" y="15"/>
                  <a:pt x="74" y="18"/>
                  <a:pt x="74" y="22"/>
                </a:cubicBezTo>
                <a:cubicBezTo>
                  <a:pt x="74" y="213"/>
                  <a:pt x="74" y="213"/>
                  <a:pt x="74" y="213"/>
                </a:cubicBezTo>
                <a:cubicBezTo>
                  <a:pt x="74" y="225"/>
                  <a:pt x="65" y="235"/>
                  <a:pt x="53" y="235"/>
                </a:cubicBezTo>
                <a:cubicBezTo>
                  <a:pt x="41" y="235"/>
                  <a:pt x="31" y="225"/>
                  <a:pt x="31" y="213"/>
                </a:cubicBezTo>
                <a:cubicBezTo>
                  <a:pt x="31" y="22"/>
                  <a:pt x="31" y="22"/>
                  <a:pt x="31" y="22"/>
                </a:cubicBezTo>
                <a:cubicBezTo>
                  <a:pt x="31" y="18"/>
                  <a:pt x="28" y="15"/>
                  <a:pt x="23" y="15"/>
                </a:cubicBezTo>
                <a:cubicBezTo>
                  <a:pt x="22" y="15"/>
                  <a:pt x="22" y="15"/>
                  <a:pt x="22" y="15"/>
                </a:cubicBezTo>
                <a:cubicBezTo>
                  <a:pt x="18" y="15"/>
                  <a:pt x="14" y="18"/>
                  <a:pt x="14" y="22"/>
                </a:cubicBezTo>
                <a:lnTo>
                  <a:pt x="14" y="308"/>
                </a:lnTo>
                <a:close/>
              </a:path>
            </a:pathLst>
          </a:custGeom>
          <a:solidFill>
            <a:srgbClr val="FF0700">
              <a:lumMod val="60000"/>
              <a:lumOff val="4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29" name="Freeform 6">
            <a:extLst>
              <a:ext uri="{FF2B5EF4-FFF2-40B4-BE49-F238E27FC236}">
                <a16:creationId xmlns:a16="http://schemas.microsoft.com/office/drawing/2014/main" id="{28FA3A5C-843B-433C-AE87-F354E92390E9}"/>
              </a:ext>
            </a:extLst>
          </xdr:cNvPr>
          <xdr:cNvSpPr>
            <a:spLocks/>
          </xdr:cNvSpPr>
        </xdr:nvSpPr>
        <xdr:spPr bwMode="auto">
          <a:xfrm>
            <a:off x="987" y="2252"/>
            <a:ext cx="166" cy="793"/>
          </a:xfrm>
          <a:custGeom>
            <a:avLst/>
            <a:gdLst>
              <a:gd name="T0" fmla="*/ 166 w 166"/>
              <a:gd name="T1" fmla="*/ 793 h 793"/>
              <a:gd name="T2" fmla="*/ 0 w 166"/>
              <a:gd name="T3" fmla="*/ 793 h 793"/>
              <a:gd name="T4" fmla="*/ 24 w 166"/>
              <a:gd name="T5" fmla="*/ 0 h 793"/>
              <a:gd name="T6" fmla="*/ 147 w 166"/>
              <a:gd name="T7" fmla="*/ 0 h 793"/>
              <a:gd name="T8" fmla="*/ 166 w 166"/>
              <a:gd name="T9" fmla="*/ 793 h 7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66" h="793">
                <a:moveTo>
                  <a:pt x="166" y="793"/>
                </a:moveTo>
                <a:lnTo>
                  <a:pt x="0" y="793"/>
                </a:lnTo>
                <a:lnTo>
                  <a:pt x="24" y="0"/>
                </a:lnTo>
                <a:lnTo>
                  <a:pt x="147" y="0"/>
                </a:lnTo>
                <a:lnTo>
                  <a:pt x="166" y="793"/>
                </a:lnTo>
                <a:close/>
              </a:path>
            </a:pathLst>
          </a:custGeom>
          <a:solidFill>
            <a:srgbClr val="FF07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30" name="Freeform 7">
            <a:extLst>
              <a:ext uri="{FF2B5EF4-FFF2-40B4-BE49-F238E27FC236}">
                <a16:creationId xmlns:a16="http://schemas.microsoft.com/office/drawing/2014/main" id="{51F817AB-ACF1-4DA6-B002-CB04DD9CA416}"/>
              </a:ext>
            </a:extLst>
          </xdr:cNvPr>
          <xdr:cNvSpPr>
            <a:spLocks/>
          </xdr:cNvSpPr>
        </xdr:nvSpPr>
        <xdr:spPr bwMode="auto">
          <a:xfrm>
            <a:off x="994" y="2240"/>
            <a:ext cx="159" cy="19"/>
          </a:xfrm>
          <a:custGeom>
            <a:avLst/>
            <a:gdLst>
              <a:gd name="T0" fmla="*/ 67 w 67"/>
              <a:gd name="T1" fmla="*/ 4 h 8"/>
              <a:gd name="T2" fmla="*/ 63 w 67"/>
              <a:gd name="T3" fmla="*/ 8 h 8"/>
              <a:gd name="T4" fmla="*/ 4 w 67"/>
              <a:gd name="T5" fmla="*/ 8 h 8"/>
              <a:gd name="T6" fmla="*/ 0 w 67"/>
              <a:gd name="T7" fmla="*/ 4 h 8"/>
              <a:gd name="T8" fmla="*/ 4 w 67"/>
              <a:gd name="T9" fmla="*/ 0 h 8"/>
              <a:gd name="T10" fmla="*/ 63 w 67"/>
              <a:gd name="T11" fmla="*/ 0 h 8"/>
              <a:gd name="T12" fmla="*/ 67 w 67"/>
              <a:gd name="T13" fmla="*/ 4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7" h="8">
                <a:moveTo>
                  <a:pt x="67" y="4"/>
                </a:moveTo>
                <a:cubicBezTo>
                  <a:pt x="67" y="6"/>
                  <a:pt x="65" y="8"/>
                  <a:pt x="63" y="8"/>
                </a:cubicBezTo>
                <a:cubicBezTo>
                  <a:pt x="4" y="8"/>
                  <a:pt x="4" y="8"/>
                  <a:pt x="4" y="8"/>
                </a:cubicBezTo>
                <a:cubicBezTo>
                  <a:pt x="2" y="8"/>
                  <a:pt x="0" y="6"/>
                  <a:pt x="0" y="4"/>
                </a:cubicBezTo>
                <a:cubicBezTo>
                  <a:pt x="0" y="2"/>
                  <a:pt x="2" y="0"/>
                  <a:pt x="4" y="0"/>
                </a:cubicBezTo>
                <a:cubicBezTo>
                  <a:pt x="63" y="0"/>
                  <a:pt x="63" y="0"/>
                  <a:pt x="63" y="0"/>
                </a:cubicBezTo>
                <a:cubicBezTo>
                  <a:pt x="65" y="0"/>
                  <a:pt x="67" y="2"/>
                  <a:pt x="67" y="4"/>
                </a:cubicBezTo>
                <a:close/>
              </a:path>
            </a:pathLst>
          </a:cu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31" name="Rectangle 8">
            <a:extLst>
              <a:ext uri="{FF2B5EF4-FFF2-40B4-BE49-F238E27FC236}">
                <a16:creationId xmlns:a16="http://schemas.microsoft.com/office/drawing/2014/main" id="{1C9AB301-A9E8-4A02-99D7-5161A3240B53}"/>
              </a:ext>
            </a:extLst>
          </xdr:cNvPr>
          <xdr:cNvSpPr>
            <a:spLocks noChangeArrowheads="1"/>
          </xdr:cNvSpPr>
        </xdr:nvSpPr>
        <xdr:spPr bwMode="auto">
          <a:xfrm>
            <a:off x="1008" y="2278"/>
            <a:ext cx="126" cy="9"/>
          </a:xfrm>
          <a:prstGeom prst="rect">
            <a:avLst/>
          </a:pr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32" name="Rectangle 9">
            <a:extLst>
              <a:ext uri="{FF2B5EF4-FFF2-40B4-BE49-F238E27FC236}">
                <a16:creationId xmlns:a16="http://schemas.microsoft.com/office/drawing/2014/main" id="{47AF52F0-EAF0-4FBF-963F-FBFF25F98765}"/>
              </a:ext>
            </a:extLst>
          </xdr:cNvPr>
          <xdr:cNvSpPr>
            <a:spLocks noChangeArrowheads="1"/>
          </xdr:cNvSpPr>
        </xdr:nvSpPr>
        <xdr:spPr bwMode="auto">
          <a:xfrm>
            <a:off x="1008" y="2297"/>
            <a:ext cx="126" cy="7"/>
          </a:xfrm>
          <a:prstGeom prst="rect">
            <a:avLst/>
          </a:pr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33" name="Freeform 10">
            <a:extLst>
              <a:ext uri="{FF2B5EF4-FFF2-40B4-BE49-F238E27FC236}">
                <a16:creationId xmlns:a16="http://schemas.microsoft.com/office/drawing/2014/main" id="{4A5B7F66-C2EC-42DA-9344-74742757771E}"/>
              </a:ext>
            </a:extLst>
          </xdr:cNvPr>
          <xdr:cNvSpPr>
            <a:spLocks/>
          </xdr:cNvSpPr>
        </xdr:nvSpPr>
        <xdr:spPr bwMode="auto">
          <a:xfrm>
            <a:off x="1220" y="2382"/>
            <a:ext cx="166" cy="663"/>
          </a:xfrm>
          <a:custGeom>
            <a:avLst/>
            <a:gdLst>
              <a:gd name="T0" fmla="*/ 166 w 166"/>
              <a:gd name="T1" fmla="*/ 663 h 663"/>
              <a:gd name="T2" fmla="*/ 0 w 166"/>
              <a:gd name="T3" fmla="*/ 663 h 663"/>
              <a:gd name="T4" fmla="*/ 23 w 166"/>
              <a:gd name="T5" fmla="*/ 0 h 663"/>
              <a:gd name="T6" fmla="*/ 147 w 166"/>
              <a:gd name="T7" fmla="*/ 0 h 663"/>
              <a:gd name="T8" fmla="*/ 166 w 166"/>
              <a:gd name="T9" fmla="*/ 663 h 6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66" h="663">
                <a:moveTo>
                  <a:pt x="166" y="663"/>
                </a:moveTo>
                <a:lnTo>
                  <a:pt x="0" y="663"/>
                </a:lnTo>
                <a:lnTo>
                  <a:pt x="23" y="0"/>
                </a:lnTo>
                <a:lnTo>
                  <a:pt x="147" y="0"/>
                </a:lnTo>
                <a:lnTo>
                  <a:pt x="166" y="663"/>
                </a:lnTo>
                <a:close/>
              </a:path>
            </a:pathLst>
          </a:custGeom>
          <a:solidFill>
            <a:srgbClr val="FF07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34" name="Freeform 11">
            <a:extLst>
              <a:ext uri="{FF2B5EF4-FFF2-40B4-BE49-F238E27FC236}">
                <a16:creationId xmlns:a16="http://schemas.microsoft.com/office/drawing/2014/main" id="{5EE1D30D-DC5C-4D41-8F40-2FBC282247BF}"/>
              </a:ext>
            </a:extLst>
          </xdr:cNvPr>
          <xdr:cNvSpPr>
            <a:spLocks/>
          </xdr:cNvSpPr>
        </xdr:nvSpPr>
        <xdr:spPr bwMode="auto">
          <a:xfrm>
            <a:off x="1227" y="2373"/>
            <a:ext cx="156" cy="19"/>
          </a:xfrm>
          <a:custGeom>
            <a:avLst/>
            <a:gdLst>
              <a:gd name="T0" fmla="*/ 66 w 66"/>
              <a:gd name="T1" fmla="*/ 4 h 8"/>
              <a:gd name="T2" fmla="*/ 62 w 66"/>
              <a:gd name="T3" fmla="*/ 8 h 8"/>
              <a:gd name="T4" fmla="*/ 4 w 66"/>
              <a:gd name="T5" fmla="*/ 8 h 8"/>
              <a:gd name="T6" fmla="*/ 0 w 66"/>
              <a:gd name="T7" fmla="*/ 4 h 8"/>
              <a:gd name="T8" fmla="*/ 4 w 66"/>
              <a:gd name="T9" fmla="*/ 0 h 8"/>
              <a:gd name="T10" fmla="*/ 62 w 66"/>
              <a:gd name="T11" fmla="*/ 0 h 8"/>
              <a:gd name="T12" fmla="*/ 66 w 66"/>
              <a:gd name="T13" fmla="*/ 4 h 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6" h="8">
                <a:moveTo>
                  <a:pt x="66" y="4"/>
                </a:moveTo>
                <a:cubicBezTo>
                  <a:pt x="66" y="6"/>
                  <a:pt x="65" y="8"/>
                  <a:pt x="62" y="8"/>
                </a:cubicBezTo>
                <a:cubicBezTo>
                  <a:pt x="4" y="8"/>
                  <a:pt x="4" y="8"/>
                  <a:pt x="4" y="8"/>
                </a:cubicBezTo>
                <a:cubicBezTo>
                  <a:pt x="2" y="8"/>
                  <a:pt x="0" y="6"/>
                  <a:pt x="0" y="4"/>
                </a:cubicBezTo>
                <a:cubicBezTo>
                  <a:pt x="0" y="1"/>
                  <a:pt x="2" y="0"/>
                  <a:pt x="4" y="0"/>
                </a:cubicBezTo>
                <a:cubicBezTo>
                  <a:pt x="62" y="0"/>
                  <a:pt x="62" y="0"/>
                  <a:pt x="62" y="0"/>
                </a:cubicBezTo>
                <a:cubicBezTo>
                  <a:pt x="65" y="0"/>
                  <a:pt x="66" y="1"/>
                  <a:pt x="66" y="4"/>
                </a:cubicBezTo>
                <a:close/>
              </a:path>
            </a:pathLst>
          </a:cu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35" name="Rectangle 12">
            <a:extLst>
              <a:ext uri="{FF2B5EF4-FFF2-40B4-BE49-F238E27FC236}">
                <a16:creationId xmlns:a16="http://schemas.microsoft.com/office/drawing/2014/main" id="{3AFFC9CE-2CC6-484C-9D39-F627EB2B504F}"/>
              </a:ext>
            </a:extLst>
          </xdr:cNvPr>
          <xdr:cNvSpPr>
            <a:spLocks noChangeArrowheads="1"/>
          </xdr:cNvSpPr>
        </xdr:nvSpPr>
        <xdr:spPr bwMode="auto">
          <a:xfrm>
            <a:off x="1241" y="2411"/>
            <a:ext cx="128" cy="7"/>
          </a:xfrm>
          <a:prstGeom prst="rect">
            <a:avLst/>
          </a:pr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36" name="Rectangle 13">
            <a:extLst>
              <a:ext uri="{FF2B5EF4-FFF2-40B4-BE49-F238E27FC236}">
                <a16:creationId xmlns:a16="http://schemas.microsoft.com/office/drawing/2014/main" id="{65833274-0030-4EC3-BAAB-57DABCA14B01}"/>
              </a:ext>
            </a:extLst>
          </xdr:cNvPr>
          <xdr:cNvSpPr>
            <a:spLocks noChangeArrowheads="1"/>
          </xdr:cNvSpPr>
        </xdr:nvSpPr>
        <xdr:spPr bwMode="auto">
          <a:xfrm>
            <a:off x="1241" y="2428"/>
            <a:ext cx="128" cy="9"/>
          </a:xfrm>
          <a:prstGeom prst="rect">
            <a:avLst/>
          </a:pr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37" name="Freeform 14">
            <a:extLst>
              <a:ext uri="{FF2B5EF4-FFF2-40B4-BE49-F238E27FC236}">
                <a16:creationId xmlns:a16="http://schemas.microsoft.com/office/drawing/2014/main" id="{B021B81A-25EE-47E3-98EF-E31B1DD1967D}"/>
              </a:ext>
            </a:extLst>
          </xdr:cNvPr>
          <xdr:cNvSpPr>
            <a:spLocks/>
          </xdr:cNvSpPr>
        </xdr:nvSpPr>
        <xdr:spPr bwMode="auto">
          <a:xfrm>
            <a:off x="1416" y="2145"/>
            <a:ext cx="738" cy="1251"/>
          </a:xfrm>
          <a:custGeom>
            <a:avLst/>
            <a:gdLst>
              <a:gd name="T0" fmla="*/ 311 w 311"/>
              <a:gd name="T1" fmla="*/ 527 h 527"/>
              <a:gd name="T2" fmla="*/ 0 w 311"/>
              <a:gd name="T3" fmla="*/ 527 h 527"/>
              <a:gd name="T4" fmla="*/ 90 w 311"/>
              <a:gd name="T5" fmla="*/ 261 h 527"/>
              <a:gd name="T6" fmla="*/ 96 w 311"/>
              <a:gd name="T7" fmla="*/ 0 h 527"/>
              <a:gd name="T8" fmla="*/ 212 w 311"/>
              <a:gd name="T9" fmla="*/ 0 h 527"/>
              <a:gd name="T10" fmla="*/ 210 w 311"/>
              <a:gd name="T11" fmla="*/ 254 h 527"/>
              <a:gd name="T12" fmla="*/ 311 w 311"/>
              <a:gd name="T13" fmla="*/ 527 h 5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11" h="527">
                <a:moveTo>
                  <a:pt x="311" y="527"/>
                </a:moveTo>
                <a:cubicBezTo>
                  <a:pt x="0" y="527"/>
                  <a:pt x="0" y="527"/>
                  <a:pt x="0" y="527"/>
                </a:cubicBezTo>
                <a:cubicBezTo>
                  <a:pt x="0" y="527"/>
                  <a:pt x="73" y="458"/>
                  <a:pt x="90" y="261"/>
                </a:cubicBezTo>
                <a:cubicBezTo>
                  <a:pt x="95" y="198"/>
                  <a:pt x="96" y="0"/>
                  <a:pt x="96" y="0"/>
                </a:cubicBezTo>
                <a:cubicBezTo>
                  <a:pt x="212" y="0"/>
                  <a:pt x="212" y="0"/>
                  <a:pt x="212" y="0"/>
                </a:cubicBezTo>
                <a:cubicBezTo>
                  <a:pt x="212" y="0"/>
                  <a:pt x="206" y="190"/>
                  <a:pt x="210" y="254"/>
                </a:cubicBezTo>
                <a:cubicBezTo>
                  <a:pt x="222" y="474"/>
                  <a:pt x="311" y="527"/>
                  <a:pt x="311" y="527"/>
                </a:cubicBezTo>
                <a:close/>
              </a:path>
            </a:pathLst>
          </a:custGeom>
          <a:solidFill>
            <a:srgbClr val="10A38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38" name="Rectangle 15">
            <a:extLst>
              <a:ext uri="{FF2B5EF4-FFF2-40B4-BE49-F238E27FC236}">
                <a16:creationId xmlns:a16="http://schemas.microsoft.com/office/drawing/2014/main" id="{16CE7BB6-BAD1-40CB-B0EB-DD9EEE5B03A0}"/>
              </a:ext>
            </a:extLst>
          </xdr:cNvPr>
          <xdr:cNvSpPr>
            <a:spLocks noChangeArrowheads="1"/>
          </xdr:cNvSpPr>
        </xdr:nvSpPr>
        <xdr:spPr bwMode="auto">
          <a:xfrm>
            <a:off x="1625" y="2114"/>
            <a:ext cx="309" cy="55"/>
          </a:xfrm>
          <a:prstGeom prst="rect">
            <a:avLst/>
          </a:pr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39" name="Rectangle 16">
            <a:extLst>
              <a:ext uri="{FF2B5EF4-FFF2-40B4-BE49-F238E27FC236}">
                <a16:creationId xmlns:a16="http://schemas.microsoft.com/office/drawing/2014/main" id="{0BF03BB3-BFC9-480A-B606-EAC9F2EAF063}"/>
              </a:ext>
            </a:extLst>
          </xdr:cNvPr>
          <xdr:cNvSpPr>
            <a:spLocks noChangeArrowheads="1"/>
          </xdr:cNvSpPr>
        </xdr:nvSpPr>
        <xdr:spPr bwMode="auto">
          <a:xfrm>
            <a:off x="1639" y="2188"/>
            <a:ext cx="290" cy="33"/>
          </a:xfrm>
          <a:prstGeom prst="rect">
            <a:avLst/>
          </a:pr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40" name="Rectangle 17">
            <a:extLst>
              <a:ext uri="{FF2B5EF4-FFF2-40B4-BE49-F238E27FC236}">
                <a16:creationId xmlns:a16="http://schemas.microsoft.com/office/drawing/2014/main" id="{0E1F35F9-C331-4DB3-BAF5-AA21C90965CB}"/>
              </a:ext>
            </a:extLst>
          </xdr:cNvPr>
          <xdr:cNvSpPr>
            <a:spLocks noChangeArrowheads="1"/>
          </xdr:cNvSpPr>
        </xdr:nvSpPr>
        <xdr:spPr bwMode="auto">
          <a:xfrm>
            <a:off x="1639" y="2245"/>
            <a:ext cx="290" cy="31"/>
          </a:xfrm>
          <a:prstGeom prst="rect">
            <a:avLst/>
          </a:pr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41" name="Freeform 18">
            <a:extLst>
              <a:ext uri="{FF2B5EF4-FFF2-40B4-BE49-F238E27FC236}">
                <a16:creationId xmlns:a16="http://schemas.microsoft.com/office/drawing/2014/main" id="{D1B2EBF2-7381-4C5F-8535-E0D302EF66FF}"/>
              </a:ext>
            </a:extLst>
          </xdr:cNvPr>
          <xdr:cNvSpPr>
            <a:spLocks/>
          </xdr:cNvSpPr>
        </xdr:nvSpPr>
        <xdr:spPr bwMode="auto">
          <a:xfrm>
            <a:off x="2047" y="2155"/>
            <a:ext cx="250" cy="498"/>
          </a:xfrm>
          <a:custGeom>
            <a:avLst/>
            <a:gdLst>
              <a:gd name="T0" fmla="*/ 79 w 105"/>
              <a:gd name="T1" fmla="*/ 0 h 210"/>
              <a:gd name="T2" fmla="*/ 53 w 105"/>
              <a:gd name="T3" fmla="*/ 26 h 210"/>
              <a:gd name="T4" fmla="*/ 53 w 105"/>
              <a:gd name="T5" fmla="*/ 47 h 210"/>
              <a:gd name="T6" fmla="*/ 40 w 105"/>
              <a:gd name="T7" fmla="*/ 45 h 210"/>
              <a:gd name="T8" fmla="*/ 0 w 105"/>
              <a:gd name="T9" fmla="*/ 85 h 210"/>
              <a:gd name="T10" fmla="*/ 0 w 105"/>
              <a:gd name="T11" fmla="*/ 170 h 210"/>
              <a:gd name="T12" fmla="*/ 40 w 105"/>
              <a:gd name="T13" fmla="*/ 210 h 210"/>
              <a:gd name="T14" fmla="*/ 80 w 105"/>
              <a:gd name="T15" fmla="*/ 170 h 210"/>
              <a:gd name="T16" fmla="*/ 80 w 105"/>
              <a:gd name="T17" fmla="*/ 109 h 210"/>
              <a:gd name="T18" fmla="*/ 105 w 105"/>
              <a:gd name="T19" fmla="*/ 83 h 210"/>
              <a:gd name="T20" fmla="*/ 105 w 105"/>
              <a:gd name="T21" fmla="*/ 26 h 210"/>
              <a:gd name="T22" fmla="*/ 79 w 105"/>
              <a:gd name="T23" fmla="*/ 0 h 2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105" h="210">
                <a:moveTo>
                  <a:pt x="79" y="0"/>
                </a:moveTo>
                <a:cubicBezTo>
                  <a:pt x="65" y="0"/>
                  <a:pt x="53" y="11"/>
                  <a:pt x="53" y="26"/>
                </a:cubicBezTo>
                <a:cubicBezTo>
                  <a:pt x="53" y="47"/>
                  <a:pt x="53" y="47"/>
                  <a:pt x="53" y="47"/>
                </a:cubicBezTo>
                <a:cubicBezTo>
                  <a:pt x="49" y="46"/>
                  <a:pt x="45" y="45"/>
                  <a:pt x="40" y="45"/>
                </a:cubicBezTo>
                <a:cubicBezTo>
                  <a:pt x="18" y="45"/>
                  <a:pt x="0" y="63"/>
                  <a:pt x="0" y="85"/>
                </a:cubicBezTo>
                <a:cubicBezTo>
                  <a:pt x="0" y="170"/>
                  <a:pt x="0" y="170"/>
                  <a:pt x="0" y="170"/>
                </a:cubicBezTo>
                <a:cubicBezTo>
                  <a:pt x="0" y="192"/>
                  <a:pt x="18" y="210"/>
                  <a:pt x="40" y="210"/>
                </a:cubicBezTo>
                <a:cubicBezTo>
                  <a:pt x="62" y="210"/>
                  <a:pt x="80" y="192"/>
                  <a:pt x="80" y="170"/>
                </a:cubicBezTo>
                <a:cubicBezTo>
                  <a:pt x="80" y="109"/>
                  <a:pt x="80" y="109"/>
                  <a:pt x="80" y="109"/>
                </a:cubicBezTo>
                <a:cubicBezTo>
                  <a:pt x="94" y="108"/>
                  <a:pt x="105" y="97"/>
                  <a:pt x="105" y="83"/>
                </a:cubicBezTo>
                <a:cubicBezTo>
                  <a:pt x="105" y="26"/>
                  <a:pt x="105" y="26"/>
                  <a:pt x="105" y="26"/>
                </a:cubicBezTo>
                <a:cubicBezTo>
                  <a:pt x="105" y="11"/>
                  <a:pt x="94" y="0"/>
                  <a:pt x="79" y="0"/>
                </a:cubicBezTo>
              </a:path>
            </a:pathLst>
          </a:custGeom>
          <a:solidFill>
            <a:srgbClr val="DBDDD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42" name="Freeform 19">
            <a:extLst>
              <a:ext uri="{FF2B5EF4-FFF2-40B4-BE49-F238E27FC236}">
                <a16:creationId xmlns:a16="http://schemas.microsoft.com/office/drawing/2014/main" id="{3017224F-6C0F-46FA-8BC5-A6A94FCAC554}"/>
              </a:ext>
            </a:extLst>
          </xdr:cNvPr>
          <xdr:cNvSpPr>
            <a:spLocks/>
          </xdr:cNvSpPr>
        </xdr:nvSpPr>
        <xdr:spPr bwMode="auto">
          <a:xfrm>
            <a:off x="2327" y="2114"/>
            <a:ext cx="117" cy="126"/>
          </a:xfrm>
          <a:custGeom>
            <a:avLst/>
            <a:gdLst>
              <a:gd name="T0" fmla="*/ 25 w 49"/>
              <a:gd name="T1" fmla="*/ 0 h 53"/>
              <a:gd name="T2" fmla="*/ 0 w 49"/>
              <a:gd name="T3" fmla="*/ 25 h 53"/>
              <a:gd name="T4" fmla="*/ 0 w 49"/>
              <a:gd name="T5" fmla="*/ 28 h 53"/>
              <a:gd name="T6" fmla="*/ 25 w 49"/>
              <a:gd name="T7" fmla="*/ 53 h 53"/>
              <a:gd name="T8" fmla="*/ 49 w 49"/>
              <a:gd name="T9" fmla="*/ 28 h 53"/>
              <a:gd name="T10" fmla="*/ 49 w 49"/>
              <a:gd name="T11" fmla="*/ 25 h 53"/>
              <a:gd name="T12" fmla="*/ 25 w 49"/>
              <a:gd name="T13" fmla="*/ 0 h 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49" h="53">
                <a:moveTo>
                  <a:pt x="25" y="0"/>
                </a:moveTo>
                <a:cubicBezTo>
                  <a:pt x="11" y="0"/>
                  <a:pt x="0" y="11"/>
                  <a:pt x="0" y="25"/>
                </a:cubicBezTo>
                <a:cubicBezTo>
                  <a:pt x="0" y="28"/>
                  <a:pt x="0" y="28"/>
                  <a:pt x="0" y="28"/>
                </a:cubicBezTo>
                <a:cubicBezTo>
                  <a:pt x="0" y="42"/>
                  <a:pt x="11" y="53"/>
                  <a:pt x="25" y="53"/>
                </a:cubicBezTo>
                <a:cubicBezTo>
                  <a:pt x="38" y="53"/>
                  <a:pt x="49" y="42"/>
                  <a:pt x="49" y="28"/>
                </a:cubicBezTo>
                <a:cubicBezTo>
                  <a:pt x="49" y="25"/>
                  <a:pt x="49" y="25"/>
                  <a:pt x="49" y="25"/>
                </a:cubicBezTo>
                <a:cubicBezTo>
                  <a:pt x="49" y="11"/>
                  <a:pt x="38" y="0"/>
                  <a:pt x="25" y="0"/>
                </a:cubicBezTo>
              </a:path>
            </a:pathLst>
          </a:custGeom>
          <a:solidFill>
            <a:srgbClr val="DBDDD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43" name="Freeform 20">
            <a:extLst>
              <a:ext uri="{FF2B5EF4-FFF2-40B4-BE49-F238E27FC236}">
                <a16:creationId xmlns:a16="http://schemas.microsoft.com/office/drawing/2014/main" id="{7FF90FBC-C2AF-4D04-8E17-445589E2B937}"/>
              </a:ext>
            </a:extLst>
          </xdr:cNvPr>
          <xdr:cNvSpPr>
            <a:spLocks/>
          </xdr:cNvSpPr>
        </xdr:nvSpPr>
        <xdr:spPr bwMode="auto">
          <a:xfrm>
            <a:off x="1784" y="2617"/>
            <a:ext cx="738" cy="779"/>
          </a:xfrm>
          <a:custGeom>
            <a:avLst/>
            <a:gdLst>
              <a:gd name="T0" fmla="*/ 209 w 311"/>
              <a:gd name="T1" fmla="*/ 55 h 328"/>
              <a:gd name="T2" fmla="*/ 208 w 311"/>
              <a:gd name="T3" fmla="*/ 0 h 328"/>
              <a:gd name="T4" fmla="*/ 92 w 311"/>
              <a:gd name="T5" fmla="*/ 0 h 328"/>
              <a:gd name="T6" fmla="*/ 89 w 311"/>
              <a:gd name="T7" fmla="*/ 62 h 328"/>
              <a:gd name="T8" fmla="*/ 0 w 311"/>
              <a:gd name="T9" fmla="*/ 328 h 328"/>
              <a:gd name="T10" fmla="*/ 311 w 311"/>
              <a:gd name="T11" fmla="*/ 328 h 328"/>
              <a:gd name="T12" fmla="*/ 209 w 311"/>
              <a:gd name="T13" fmla="*/ 55 h 3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11" h="328">
                <a:moveTo>
                  <a:pt x="209" y="55"/>
                </a:moveTo>
                <a:cubicBezTo>
                  <a:pt x="209" y="41"/>
                  <a:pt x="208" y="22"/>
                  <a:pt x="208" y="0"/>
                </a:cubicBezTo>
                <a:cubicBezTo>
                  <a:pt x="92" y="0"/>
                  <a:pt x="92" y="0"/>
                  <a:pt x="92" y="0"/>
                </a:cubicBezTo>
                <a:cubicBezTo>
                  <a:pt x="92" y="25"/>
                  <a:pt x="91" y="47"/>
                  <a:pt x="89" y="62"/>
                </a:cubicBezTo>
                <a:cubicBezTo>
                  <a:pt x="72" y="260"/>
                  <a:pt x="0" y="328"/>
                  <a:pt x="0" y="328"/>
                </a:cubicBezTo>
                <a:cubicBezTo>
                  <a:pt x="311" y="328"/>
                  <a:pt x="311" y="328"/>
                  <a:pt x="311" y="328"/>
                </a:cubicBezTo>
                <a:cubicBezTo>
                  <a:pt x="311" y="328"/>
                  <a:pt x="221" y="275"/>
                  <a:pt x="209" y="55"/>
                </a:cubicBezTo>
                <a:close/>
              </a:path>
            </a:pathLst>
          </a:custGeom>
          <a:solidFill>
            <a:srgbClr val="FFBB00">
              <a:lumMod val="75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44" name="Rectangle 21">
            <a:extLst>
              <a:ext uri="{FF2B5EF4-FFF2-40B4-BE49-F238E27FC236}">
                <a16:creationId xmlns:a16="http://schemas.microsoft.com/office/drawing/2014/main" id="{13E465DD-53B3-41EF-8D8E-540193221C4F}"/>
              </a:ext>
            </a:extLst>
          </xdr:cNvPr>
          <xdr:cNvSpPr>
            <a:spLocks noChangeArrowheads="1"/>
          </xdr:cNvSpPr>
        </xdr:nvSpPr>
        <xdr:spPr bwMode="auto">
          <a:xfrm>
            <a:off x="1983" y="2582"/>
            <a:ext cx="311" cy="54"/>
          </a:xfrm>
          <a:prstGeom prst="rect">
            <a:avLst/>
          </a:pr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45" name="Rectangle 22">
            <a:extLst>
              <a:ext uri="{FF2B5EF4-FFF2-40B4-BE49-F238E27FC236}">
                <a16:creationId xmlns:a16="http://schemas.microsoft.com/office/drawing/2014/main" id="{6B89EEF9-ED75-45AB-9CF3-26615A739976}"/>
              </a:ext>
            </a:extLst>
          </xdr:cNvPr>
          <xdr:cNvSpPr>
            <a:spLocks noChangeArrowheads="1"/>
          </xdr:cNvSpPr>
        </xdr:nvSpPr>
        <xdr:spPr bwMode="auto">
          <a:xfrm>
            <a:off x="1993" y="2655"/>
            <a:ext cx="294" cy="34"/>
          </a:xfrm>
          <a:prstGeom prst="rect">
            <a:avLst/>
          </a:pr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46" name="Rectangle 23">
            <a:extLst>
              <a:ext uri="{FF2B5EF4-FFF2-40B4-BE49-F238E27FC236}">
                <a16:creationId xmlns:a16="http://schemas.microsoft.com/office/drawing/2014/main" id="{EFE3DD8B-3EE3-4A50-BE3C-1F5F87616830}"/>
              </a:ext>
            </a:extLst>
          </xdr:cNvPr>
          <xdr:cNvSpPr>
            <a:spLocks noChangeArrowheads="1"/>
          </xdr:cNvSpPr>
        </xdr:nvSpPr>
        <xdr:spPr bwMode="auto">
          <a:xfrm>
            <a:off x="1993" y="2712"/>
            <a:ext cx="294" cy="31"/>
          </a:xfrm>
          <a:prstGeom prst="rect">
            <a:avLst/>
          </a:prstGeom>
          <a:solidFill>
            <a:srgbClr val="00556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47" name="Rectangle 24">
            <a:extLst>
              <a:ext uri="{FF2B5EF4-FFF2-40B4-BE49-F238E27FC236}">
                <a16:creationId xmlns:a16="http://schemas.microsoft.com/office/drawing/2014/main" id="{52772C1C-1BA8-4B26-B69E-039A86983D20}"/>
              </a:ext>
            </a:extLst>
          </xdr:cNvPr>
          <xdr:cNvSpPr>
            <a:spLocks noChangeArrowheads="1"/>
          </xdr:cNvSpPr>
        </xdr:nvSpPr>
        <xdr:spPr bwMode="auto">
          <a:xfrm>
            <a:off x="930" y="2717"/>
            <a:ext cx="774" cy="169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48" name="Rectangle 25">
            <a:extLst>
              <a:ext uri="{FF2B5EF4-FFF2-40B4-BE49-F238E27FC236}">
                <a16:creationId xmlns:a16="http://schemas.microsoft.com/office/drawing/2014/main" id="{372C5C64-3066-402C-9770-8B34AD2402AF}"/>
              </a:ext>
            </a:extLst>
          </xdr:cNvPr>
          <xdr:cNvSpPr>
            <a:spLocks noChangeArrowheads="1"/>
          </xdr:cNvSpPr>
        </xdr:nvSpPr>
        <xdr:spPr bwMode="auto">
          <a:xfrm>
            <a:off x="873" y="2819"/>
            <a:ext cx="887" cy="579"/>
          </a:xfrm>
          <a:prstGeom prst="rect">
            <a:avLst/>
          </a:prstGeom>
          <a:solidFill>
            <a:srgbClr val="FF0700">
              <a:lumMod val="60000"/>
              <a:lumOff val="4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49" name="Rectangle 26">
            <a:extLst>
              <a:ext uri="{FF2B5EF4-FFF2-40B4-BE49-F238E27FC236}">
                <a16:creationId xmlns:a16="http://schemas.microsoft.com/office/drawing/2014/main" id="{54EB398A-0E47-469A-9A58-D08E7D144A70}"/>
              </a:ext>
            </a:extLst>
          </xdr:cNvPr>
          <xdr:cNvSpPr>
            <a:spLocks noChangeArrowheads="1"/>
          </xdr:cNvSpPr>
        </xdr:nvSpPr>
        <xdr:spPr bwMode="auto">
          <a:xfrm>
            <a:off x="944" y="2886"/>
            <a:ext cx="325" cy="57"/>
          </a:xfrm>
          <a:prstGeom prst="rect">
            <a:avLst/>
          </a:prstGeom>
          <a:solidFill>
            <a:srgbClr val="8C9DA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50" name="Rectangle 27">
            <a:extLst>
              <a:ext uri="{FF2B5EF4-FFF2-40B4-BE49-F238E27FC236}">
                <a16:creationId xmlns:a16="http://schemas.microsoft.com/office/drawing/2014/main" id="{E33F8BF0-890C-4F92-B650-6CC833026262}"/>
              </a:ext>
            </a:extLst>
          </xdr:cNvPr>
          <xdr:cNvSpPr>
            <a:spLocks noChangeArrowheads="1"/>
          </xdr:cNvSpPr>
        </xdr:nvSpPr>
        <xdr:spPr bwMode="auto">
          <a:xfrm>
            <a:off x="1345" y="2886"/>
            <a:ext cx="325" cy="57"/>
          </a:xfrm>
          <a:prstGeom prst="rect">
            <a:avLst/>
          </a:prstGeom>
          <a:solidFill>
            <a:srgbClr val="8C9DA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51" name="Rectangle 28">
            <a:extLst>
              <a:ext uri="{FF2B5EF4-FFF2-40B4-BE49-F238E27FC236}">
                <a16:creationId xmlns:a16="http://schemas.microsoft.com/office/drawing/2014/main" id="{CC69012D-1ADC-4DFB-8FD8-8E54EECCCF5D}"/>
              </a:ext>
            </a:extLst>
          </xdr:cNvPr>
          <xdr:cNvSpPr>
            <a:spLocks noChangeArrowheads="1"/>
          </xdr:cNvSpPr>
        </xdr:nvSpPr>
        <xdr:spPr bwMode="auto">
          <a:xfrm>
            <a:off x="944" y="2988"/>
            <a:ext cx="325" cy="57"/>
          </a:xfrm>
          <a:prstGeom prst="rect">
            <a:avLst/>
          </a:prstGeom>
          <a:solidFill>
            <a:srgbClr val="8C9DA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52" name="Rectangle 29">
            <a:extLst>
              <a:ext uri="{FF2B5EF4-FFF2-40B4-BE49-F238E27FC236}">
                <a16:creationId xmlns:a16="http://schemas.microsoft.com/office/drawing/2014/main" id="{36DA931C-7B7C-421D-9C95-CD630EEC7BC3}"/>
              </a:ext>
            </a:extLst>
          </xdr:cNvPr>
          <xdr:cNvSpPr>
            <a:spLocks noChangeArrowheads="1"/>
          </xdr:cNvSpPr>
        </xdr:nvSpPr>
        <xdr:spPr bwMode="auto">
          <a:xfrm>
            <a:off x="1345" y="2988"/>
            <a:ext cx="325" cy="57"/>
          </a:xfrm>
          <a:prstGeom prst="rect">
            <a:avLst/>
          </a:prstGeom>
          <a:solidFill>
            <a:srgbClr val="8C9DA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53" name="Rectangle 30">
            <a:extLst>
              <a:ext uri="{FF2B5EF4-FFF2-40B4-BE49-F238E27FC236}">
                <a16:creationId xmlns:a16="http://schemas.microsoft.com/office/drawing/2014/main" id="{21555D82-092F-4A1A-A2E4-212EC8BEE0F2}"/>
              </a:ext>
            </a:extLst>
          </xdr:cNvPr>
          <xdr:cNvSpPr>
            <a:spLocks noChangeArrowheads="1"/>
          </xdr:cNvSpPr>
        </xdr:nvSpPr>
        <xdr:spPr bwMode="auto">
          <a:xfrm>
            <a:off x="975" y="2900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54" name="Rectangle 31">
            <a:extLst>
              <a:ext uri="{FF2B5EF4-FFF2-40B4-BE49-F238E27FC236}">
                <a16:creationId xmlns:a16="http://schemas.microsoft.com/office/drawing/2014/main" id="{E5776158-71C5-4C68-9806-F534C9F371AF}"/>
              </a:ext>
            </a:extLst>
          </xdr:cNvPr>
          <xdr:cNvSpPr>
            <a:spLocks noChangeArrowheads="1"/>
          </xdr:cNvSpPr>
        </xdr:nvSpPr>
        <xdr:spPr bwMode="auto">
          <a:xfrm>
            <a:off x="1023" y="2900"/>
            <a:ext cx="23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55" name="Rectangle 32">
            <a:extLst>
              <a:ext uri="{FF2B5EF4-FFF2-40B4-BE49-F238E27FC236}">
                <a16:creationId xmlns:a16="http://schemas.microsoft.com/office/drawing/2014/main" id="{526B0B2C-1488-405E-9366-CECA25587A12}"/>
              </a:ext>
            </a:extLst>
          </xdr:cNvPr>
          <xdr:cNvSpPr>
            <a:spLocks noChangeArrowheads="1"/>
          </xdr:cNvSpPr>
        </xdr:nvSpPr>
        <xdr:spPr bwMode="auto">
          <a:xfrm>
            <a:off x="1073" y="2900"/>
            <a:ext cx="23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56" name="Rectangle 33">
            <a:extLst>
              <a:ext uri="{FF2B5EF4-FFF2-40B4-BE49-F238E27FC236}">
                <a16:creationId xmlns:a16="http://schemas.microsoft.com/office/drawing/2014/main" id="{92AB59BA-E8C3-487F-8B76-6BF59B9B1E72}"/>
              </a:ext>
            </a:extLst>
          </xdr:cNvPr>
          <xdr:cNvSpPr>
            <a:spLocks noChangeArrowheads="1"/>
          </xdr:cNvSpPr>
        </xdr:nvSpPr>
        <xdr:spPr bwMode="auto">
          <a:xfrm>
            <a:off x="1120" y="2900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57" name="Rectangle 34">
            <a:extLst>
              <a:ext uri="{FF2B5EF4-FFF2-40B4-BE49-F238E27FC236}">
                <a16:creationId xmlns:a16="http://schemas.microsoft.com/office/drawing/2014/main" id="{1F1A291F-B1C1-499F-A5DD-C78CE6640073}"/>
              </a:ext>
            </a:extLst>
          </xdr:cNvPr>
          <xdr:cNvSpPr>
            <a:spLocks noChangeArrowheads="1"/>
          </xdr:cNvSpPr>
        </xdr:nvSpPr>
        <xdr:spPr bwMode="auto">
          <a:xfrm>
            <a:off x="1170" y="2900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58" name="Rectangle 35">
            <a:extLst>
              <a:ext uri="{FF2B5EF4-FFF2-40B4-BE49-F238E27FC236}">
                <a16:creationId xmlns:a16="http://schemas.microsoft.com/office/drawing/2014/main" id="{8DEE6D78-D4D1-4DCC-9EA3-959726B99A44}"/>
              </a:ext>
            </a:extLst>
          </xdr:cNvPr>
          <xdr:cNvSpPr>
            <a:spLocks noChangeArrowheads="1"/>
          </xdr:cNvSpPr>
        </xdr:nvSpPr>
        <xdr:spPr bwMode="auto">
          <a:xfrm>
            <a:off x="1217" y="2900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59" name="Rectangle 36">
            <a:extLst>
              <a:ext uri="{FF2B5EF4-FFF2-40B4-BE49-F238E27FC236}">
                <a16:creationId xmlns:a16="http://schemas.microsoft.com/office/drawing/2014/main" id="{727447F1-0EDA-4E75-943B-8478E5598ED7}"/>
              </a:ext>
            </a:extLst>
          </xdr:cNvPr>
          <xdr:cNvSpPr>
            <a:spLocks noChangeArrowheads="1"/>
          </xdr:cNvSpPr>
        </xdr:nvSpPr>
        <xdr:spPr bwMode="auto">
          <a:xfrm>
            <a:off x="975" y="3002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60" name="Rectangle 37">
            <a:extLst>
              <a:ext uri="{FF2B5EF4-FFF2-40B4-BE49-F238E27FC236}">
                <a16:creationId xmlns:a16="http://schemas.microsoft.com/office/drawing/2014/main" id="{23492B22-8FF3-4092-B745-E8F0499EF660}"/>
              </a:ext>
            </a:extLst>
          </xdr:cNvPr>
          <xdr:cNvSpPr>
            <a:spLocks noChangeArrowheads="1"/>
          </xdr:cNvSpPr>
        </xdr:nvSpPr>
        <xdr:spPr bwMode="auto">
          <a:xfrm>
            <a:off x="1023" y="3002"/>
            <a:ext cx="23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61" name="Rectangle 38">
            <a:extLst>
              <a:ext uri="{FF2B5EF4-FFF2-40B4-BE49-F238E27FC236}">
                <a16:creationId xmlns:a16="http://schemas.microsoft.com/office/drawing/2014/main" id="{8003A84E-C7E2-4CC9-A6B0-6533BEF6C553}"/>
              </a:ext>
            </a:extLst>
          </xdr:cNvPr>
          <xdr:cNvSpPr>
            <a:spLocks noChangeArrowheads="1"/>
          </xdr:cNvSpPr>
        </xdr:nvSpPr>
        <xdr:spPr bwMode="auto">
          <a:xfrm>
            <a:off x="1073" y="3002"/>
            <a:ext cx="23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62" name="Rectangle 39">
            <a:extLst>
              <a:ext uri="{FF2B5EF4-FFF2-40B4-BE49-F238E27FC236}">
                <a16:creationId xmlns:a16="http://schemas.microsoft.com/office/drawing/2014/main" id="{D046F45F-FE55-4B6D-B925-BA7AF59E3952}"/>
              </a:ext>
            </a:extLst>
          </xdr:cNvPr>
          <xdr:cNvSpPr>
            <a:spLocks noChangeArrowheads="1"/>
          </xdr:cNvSpPr>
        </xdr:nvSpPr>
        <xdr:spPr bwMode="auto">
          <a:xfrm>
            <a:off x="1120" y="3002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63" name="Rectangle 40">
            <a:extLst>
              <a:ext uri="{FF2B5EF4-FFF2-40B4-BE49-F238E27FC236}">
                <a16:creationId xmlns:a16="http://schemas.microsoft.com/office/drawing/2014/main" id="{AACBF10C-1577-4028-968F-0D8B14732CFF}"/>
              </a:ext>
            </a:extLst>
          </xdr:cNvPr>
          <xdr:cNvSpPr>
            <a:spLocks noChangeArrowheads="1"/>
          </xdr:cNvSpPr>
        </xdr:nvSpPr>
        <xdr:spPr bwMode="auto">
          <a:xfrm>
            <a:off x="1170" y="3002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64" name="Rectangle 41">
            <a:extLst>
              <a:ext uri="{FF2B5EF4-FFF2-40B4-BE49-F238E27FC236}">
                <a16:creationId xmlns:a16="http://schemas.microsoft.com/office/drawing/2014/main" id="{4162928B-D736-45BB-8413-E40320AC1B27}"/>
              </a:ext>
            </a:extLst>
          </xdr:cNvPr>
          <xdr:cNvSpPr>
            <a:spLocks noChangeArrowheads="1"/>
          </xdr:cNvSpPr>
        </xdr:nvSpPr>
        <xdr:spPr bwMode="auto">
          <a:xfrm>
            <a:off x="1217" y="3002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65" name="Rectangle 42">
            <a:extLst>
              <a:ext uri="{FF2B5EF4-FFF2-40B4-BE49-F238E27FC236}">
                <a16:creationId xmlns:a16="http://schemas.microsoft.com/office/drawing/2014/main" id="{BE109790-82D5-4C9E-A3A2-C391B278CA4E}"/>
              </a:ext>
            </a:extLst>
          </xdr:cNvPr>
          <xdr:cNvSpPr>
            <a:spLocks noChangeArrowheads="1"/>
          </xdr:cNvSpPr>
        </xdr:nvSpPr>
        <xdr:spPr bwMode="auto">
          <a:xfrm>
            <a:off x="975" y="3106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66" name="Rectangle 43">
            <a:extLst>
              <a:ext uri="{FF2B5EF4-FFF2-40B4-BE49-F238E27FC236}">
                <a16:creationId xmlns:a16="http://schemas.microsoft.com/office/drawing/2014/main" id="{ABA572A8-8872-4022-9D6E-FB10876048B4}"/>
              </a:ext>
            </a:extLst>
          </xdr:cNvPr>
          <xdr:cNvSpPr>
            <a:spLocks noChangeArrowheads="1"/>
          </xdr:cNvSpPr>
        </xdr:nvSpPr>
        <xdr:spPr bwMode="auto">
          <a:xfrm>
            <a:off x="1023" y="3106"/>
            <a:ext cx="23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67" name="Rectangle 44">
            <a:extLst>
              <a:ext uri="{FF2B5EF4-FFF2-40B4-BE49-F238E27FC236}">
                <a16:creationId xmlns:a16="http://schemas.microsoft.com/office/drawing/2014/main" id="{AE433639-2BC5-43B0-971D-84D94DCF7FDC}"/>
              </a:ext>
            </a:extLst>
          </xdr:cNvPr>
          <xdr:cNvSpPr>
            <a:spLocks noChangeArrowheads="1"/>
          </xdr:cNvSpPr>
        </xdr:nvSpPr>
        <xdr:spPr bwMode="auto">
          <a:xfrm>
            <a:off x="1073" y="3106"/>
            <a:ext cx="23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68" name="Rectangle 45">
            <a:extLst>
              <a:ext uri="{FF2B5EF4-FFF2-40B4-BE49-F238E27FC236}">
                <a16:creationId xmlns:a16="http://schemas.microsoft.com/office/drawing/2014/main" id="{31A730A6-BAFC-4EA1-A9CA-3443EA23AC5C}"/>
              </a:ext>
            </a:extLst>
          </xdr:cNvPr>
          <xdr:cNvSpPr>
            <a:spLocks noChangeArrowheads="1"/>
          </xdr:cNvSpPr>
        </xdr:nvSpPr>
        <xdr:spPr bwMode="auto">
          <a:xfrm>
            <a:off x="1120" y="3106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69" name="Rectangle 46">
            <a:extLst>
              <a:ext uri="{FF2B5EF4-FFF2-40B4-BE49-F238E27FC236}">
                <a16:creationId xmlns:a16="http://schemas.microsoft.com/office/drawing/2014/main" id="{D8FEE491-FE17-47C2-9604-38E8912469EB}"/>
              </a:ext>
            </a:extLst>
          </xdr:cNvPr>
          <xdr:cNvSpPr>
            <a:spLocks noChangeArrowheads="1"/>
          </xdr:cNvSpPr>
        </xdr:nvSpPr>
        <xdr:spPr bwMode="auto">
          <a:xfrm>
            <a:off x="1170" y="3106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70" name="Rectangle 47">
            <a:extLst>
              <a:ext uri="{FF2B5EF4-FFF2-40B4-BE49-F238E27FC236}">
                <a16:creationId xmlns:a16="http://schemas.microsoft.com/office/drawing/2014/main" id="{614272DF-E1FE-42F8-B110-84779E431416}"/>
              </a:ext>
            </a:extLst>
          </xdr:cNvPr>
          <xdr:cNvSpPr>
            <a:spLocks noChangeArrowheads="1"/>
          </xdr:cNvSpPr>
        </xdr:nvSpPr>
        <xdr:spPr bwMode="auto">
          <a:xfrm>
            <a:off x="1217" y="3106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71" name="Rectangle 48">
            <a:extLst>
              <a:ext uri="{FF2B5EF4-FFF2-40B4-BE49-F238E27FC236}">
                <a16:creationId xmlns:a16="http://schemas.microsoft.com/office/drawing/2014/main" id="{4DB74ECE-F18F-4A99-A8DD-2E959892ED4C}"/>
              </a:ext>
            </a:extLst>
          </xdr:cNvPr>
          <xdr:cNvSpPr>
            <a:spLocks noChangeArrowheads="1"/>
          </xdr:cNvSpPr>
        </xdr:nvSpPr>
        <xdr:spPr bwMode="auto">
          <a:xfrm>
            <a:off x="975" y="3209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72" name="Rectangle 49">
            <a:extLst>
              <a:ext uri="{FF2B5EF4-FFF2-40B4-BE49-F238E27FC236}">
                <a16:creationId xmlns:a16="http://schemas.microsoft.com/office/drawing/2014/main" id="{65DB083F-7982-4185-B310-E845112FB63A}"/>
              </a:ext>
            </a:extLst>
          </xdr:cNvPr>
          <xdr:cNvSpPr>
            <a:spLocks noChangeArrowheads="1"/>
          </xdr:cNvSpPr>
        </xdr:nvSpPr>
        <xdr:spPr bwMode="auto">
          <a:xfrm>
            <a:off x="1023" y="3209"/>
            <a:ext cx="23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73" name="Rectangle 50">
            <a:extLst>
              <a:ext uri="{FF2B5EF4-FFF2-40B4-BE49-F238E27FC236}">
                <a16:creationId xmlns:a16="http://schemas.microsoft.com/office/drawing/2014/main" id="{C3F43467-BE5F-45FD-938E-4D4AF1FC06DF}"/>
              </a:ext>
            </a:extLst>
          </xdr:cNvPr>
          <xdr:cNvSpPr>
            <a:spLocks noChangeArrowheads="1"/>
          </xdr:cNvSpPr>
        </xdr:nvSpPr>
        <xdr:spPr bwMode="auto">
          <a:xfrm>
            <a:off x="1073" y="3209"/>
            <a:ext cx="23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74" name="Rectangle 51">
            <a:extLst>
              <a:ext uri="{FF2B5EF4-FFF2-40B4-BE49-F238E27FC236}">
                <a16:creationId xmlns:a16="http://schemas.microsoft.com/office/drawing/2014/main" id="{1D93EA40-146E-4BD5-98C8-9603259369DE}"/>
              </a:ext>
            </a:extLst>
          </xdr:cNvPr>
          <xdr:cNvSpPr>
            <a:spLocks noChangeArrowheads="1"/>
          </xdr:cNvSpPr>
        </xdr:nvSpPr>
        <xdr:spPr bwMode="auto">
          <a:xfrm>
            <a:off x="1120" y="3209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75" name="Rectangle 52">
            <a:extLst>
              <a:ext uri="{FF2B5EF4-FFF2-40B4-BE49-F238E27FC236}">
                <a16:creationId xmlns:a16="http://schemas.microsoft.com/office/drawing/2014/main" id="{2DE29232-037E-4F05-B4D2-A12371F8F4DF}"/>
              </a:ext>
            </a:extLst>
          </xdr:cNvPr>
          <xdr:cNvSpPr>
            <a:spLocks noChangeArrowheads="1"/>
          </xdr:cNvSpPr>
        </xdr:nvSpPr>
        <xdr:spPr bwMode="auto">
          <a:xfrm>
            <a:off x="1170" y="3209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76" name="Rectangle 53">
            <a:extLst>
              <a:ext uri="{FF2B5EF4-FFF2-40B4-BE49-F238E27FC236}">
                <a16:creationId xmlns:a16="http://schemas.microsoft.com/office/drawing/2014/main" id="{2911D215-ED56-4618-A131-FB1C672F5A65}"/>
              </a:ext>
            </a:extLst>
          </xdr:cNvPr>
          <xdr:cNvSpPr>
            <a:spLocks noChangeArrowheads="1"/>
          </xdr:cNvSpPr>
        </xdr:nvSpPr>
        <xdr:spPr bwMode="auto">
          <a:xfrm>
            <a:off x="1217" y="3209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77" name="Rectangle 54">
            <a:extLst>
              <a:ext uri="{FF2B5EF4-FFF2-40B4-BE49-F238E27FC236}">
                <a16:creationId xmlns:a16="http://schemas.microsoft.com/office/drawing/2014/main" id="{622DAD5C-3296-400B-8BA5-1E848AE0D170}"/>
              </a:ext>
            </a:extLst>
          </xdr:cNvPr>
          <xdr:cNvSpPr>
            <a:spLocks noChangeArrowheads="1"/>
          </xdr:cNvSpPr>
        </xdr:nvSpPr>
        <xdr:spPr bwMode="auto">
          <a:xfrm>
            <a:off x="975" y="3311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78" name="Rectangle 55">
            <a:extLst>
              <a:ext uri="{FF2B5EF4-FFF2-40B4-BE49-F238E27FC236}">
                <a16:creationId xmlns:a16="http://schemas.microsoft.com/office/drawing/2014/main" id="{98D81E2E-8134-4D09-861B-247F92C4E3D1}"/>
              </a:ext>
            </a:extLst>
          </xdr:cNvPr>
          <xdr:cNvSpPr>
            <a:spLocks noChangeArrowheads="1"/>
          </xdr:cNvSpPr>
        </xdr:nvSpPr>
        <xdr:spPr bwMode="auto">
          <a:xfrm>
            <a:off x="1023" y="3311"/>
            <a:ext cx="23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79" name="Rectangle 56">
            <a:extLst>
              <a:ext uri="{FF2B5EF4-FFF2-40B4-BE49-F238E27FC236}">
                <a16:creationId xmlns:a16="http://schemas.microsoft.com/office/drawing/2014/main" id="{1C81EF2E-7244-4E78-AA5E-79569F48C446}"/>
              </a:ext>
            </a:extLst>
          </xdr:cNvPr>
          <xdr:cNvSpPr>
            <a:spLocks noChangeArrowheads="1"/>
          </xdr:cNvSpPr>
        </xdr:nvSpPr>
        <xdr:spPr bwMode="auto">
          <a:xfrm>
            <a:off x="1073" y="3311"/>
            <a:ext cx="23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80" name="Rectangle 57">
            <a:extLst>
              <a:ext uri="{FF2B5EF4-FFF2-40B4-BE49-F238E27FC236}">
                <a16:creationId xmlns:a16="http://schemas.microsoft.com/office/drawing/2014/main" id="{DD649689-23B3-4C87-98B8-5AB02CEEAC15}"/>
              </a:ext>
            </a:extLst>
          </xdr:cNvPr>
          <xdr:cNvSpPr>
            <a:spLocks noChangeArrowheads="1"/>
          </xdr:cNvSpPr>
        </xdr:nvSpPr>
        <xdr:spPr bwMode="auto">
          <a:xfrm>
            <a:off x="1120" y="3311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81" name="Rectangle 58">
            <a:extLst>
              <a:ext uri="{FF2B5EF4-FFF2-40B4-BE49-F238E27FC236}">
                <a16:creationId xmlns:a16="http://schemas.microsoft.com/office/drawing/2014/main" id="{F70AE625-EAD6-4CA0-AE1C-6804EE25F77C}"/>
              </a:ext>
            </a:extLst>
          </xdr:cNvPr>
          <xdr:cNvSpPr>
            <a:spLocks noChangeArrowheads="1"/>
          </xdr:cNvSpPr>
        </xdr:nvSpPr>
        <xdr:spPr bwMode="auto">
          <a:xfrm>
            <a:off x="1170" y="3311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82" name="Rectangle 59">
            <a:extLst>
              <a:ext uri="{FF2B5EF4-FFF2-40B4-BE49-F238E27FC236}">
                <a16:creationId xmlns:a16="http://schemas.microsoft.com/office/drawing/2014/main" id="{9DA6BE4C-2221-4270-A9CE-6449EC65C038}"/>
              </a:ext>
            </a:extLst>
          </xdr:cNvPr>
          <xdr:cNvSpPr>
            <a:spLocks noChangeArrowheads="1"/>
          </xdr:cNvSpPr>
        </xdr:nvSpPr>
        <xdr:spPr bwMode="auto">
          <a:xfrm>
            <a:off x="1217" y="3311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83" name="Rectangle 60">
            <a:extLst>
              <a:ext uri="{FF2B5EF4-FFF2-40B4-BE49-F238E27FC236}">
                <a16:creationId xmlns:a16="http://schemas.microsoft.com/office/drawing/2014/main" id="{526322FE-D544-4F86-A2A3-20970A65FF53}"/>
              </a:ext>
            </a:extLst>
          </xdr:cNvPr>
          <xdr:cNvSpPr>
            <a:spLocks noChangeArrowheads="1"/>
          </xdr:cNvSpPr>
        </xdr:nvSpPr>
        <xdr:spPr bwMode="auto">
          <a:xfrm>
            <a:off x="1369" y="2900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84" name="Rectangle 61">
            <a:extLst>
              <a:ext uri="{FF2B5EF4-FFF2-40B4-BE49-F238E27FC236}">
                <a16:creationId xmlns:a16="http://schemas.microsoft.com/office/drawing/2014/main" id="{B9DFFEF2-1F1E-426E-9FA7-60D1E20728CB}"/>
              </a:ext>
            </a:extLst>
          </xdr:cNvPr>
          <xdr:cNvSpPr>
            <a:spLocks noChangeArrowheads="1"/>
          </xdr:cNvSpPr>
        </xdr:nvSpPr>
        <xdr:spPr bwMode="auto">
          <a:xfrm>
            <a:off x="1416" y="2900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85" name="Rectangle 62">
            <a:extLst>
              <a:ext uri="{FF2B5EF4-FFF2-40B4-BE49-F238E27FC236}">
                <a16:creationId xmlns:a16="http://schemas.microsoft.com/office/drawing/2014/main" id="{2C679FA5-2D7C-437B-9BEF-403FCFB65335}"/>
              </a:ext>
            </a:extLst>
          </xdr:cNvPr>
          <xdr:cNvSpPr>
            <a:spLocks noChangeArrowheads="1"/>
          </xdr:cNvSpPr>
        </xdr:nvSpPr>
        <xdr:spPr bwMode="auto">
          <a:xfrm>
            <a:off x="1466" y="2900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86" name="Rectangle 63">
            <a:extLst>
              <a:ext uri="{FF2B5EF4-FFF2-40B4-BE49-F238E27FC236}">
                <a16:creationId xmlns:a16="http://schemas.microsoft.com/office/drawing/2014/main" id="{87CE294A-0201-4AD7-89A0-A100BB461162}"/>
              </a:ext>
            </a:extLst>
          </xdr:cNvPr>
          <xdr:cNvSpPr>
            <a:spLocks noChangeArrowheads="1"/>
          </xdr:cNvSpPr>
        </xdr:nvSpPr>
        <xdr:spPr bwMode="auto">
          <a:xfrm>
            <a:off x="1514" y="2900"/>
            <a:ext cx="23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87" name="Rectangle 64">
            <a:extLst>
              <a:ext uri="{FF2B5EF4-FFF2-40B4-BE49-F238E27FC236}">
                <a16:creationId xmlns:a16="http://schemas.microsoft.com/office/drawing/2014/main" id="{A7E78471-DCCE-4451-8CBE-450CB6849FA5}"/>
              </a:ext>
            </a:extLst>
          </xdr:cNvPr>
          <xdr:cNvSpPr>
            <a:spLocks noChangeArrowheads="1"/>
          </xdr:cNvSpPr>
        </xdr:nvSpPr>
        <xdr:spPr bwMode="auto">
          <a:xfrm>
            <a:off x="1564" y="2900"/>
            <a:ext cx="21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88" name="Rectangle 65">
            <a:extLst>
              <a:ext uri="{FF2B5EF4-FFF2-40B4-BE49-F238E27FC236}">
                <a16:creationId xmlns:a16="http://schemas.microsoft.com/office/drawing/2014/main" id="{844C56A6-EFE2-4F04-A2AA-2B2C89290320}"/>
              </a:ext>
            </a:extLst>
          </xdr:cNvPr>
          <xdr:cNvSpPr>
            <a:spLocks noChangeArrowheads="1"/>
          </xdr:cNvSpPr>
        </xdr:nvSpPr>
        <xdr:spPr bwMode="auto">
          <a:xfrm>
            <a:off x="1611" y="2900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89" name="Rectangle 66">
            <a:extLst>
              <a:ext uri="{FF2B5EF4-FFF2-40B4-BE49-F238E27FC236}">
                <a16:creationId xmlns:a16="http://schemas.microsoft.com/office/drawing/2014/main" id="{74EDFC9B-5000-4986-9787-8F9240A34D4F}"/>
              </a:ext>
            </a:extLst>
          </xdr:cNvPr>
          <xdr:cNvSpPr>
            <a:spLocks noChangeArrowheads="1"/>
          </xdr:cNvSpPr>
        </xdr:nvSpPr>
        <xdr:spPr bwMode="auto">
          <a:xfrm>
            <a:off x="1369" y="3002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90" name="Rectangle 67">
            <a:extLst>
              <a:ext uri="{FF2B5EF4-FFF2-40B4-BE49-F238E27FC236}">
                <a16:creationId xmlns:a16="http://schemas.microsoft.com/office/drawing/2014/main" id="{67EC3BE0-39B6-4C6C-AA18-BCEE2A94804A}"/>
              </a:ext>
            </a:extLst>
          </xdr:cNvPr>
          <xdr:cNvSpPr>
            <a:spLocks noChangeArrowheads="1"/>
          </xdr:cNvSpPr>
        </xdr:nvSpPr>
        <xdr:spPr bwMode="auto">
          <a:xfrm>
            <a:off x="1416" y="3002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91" name="Rectangle 68">
            <a:extLst>
              <a:ext uri="{FF2B5EF4-FFF2-40B4-BE49-F238E27FC236}">
                <a16:creationId xmlns:a16="http://schemas.microsoft.com/office/drawing/2014/main" id="{6839DB32-D537-4980-96DC-1A3C59A5922A}"/>
              </a:ext>
            </a:extLst>
          </xdr:cNvPr>
          <xdr:cNvSpPr>
            <a:spLocks noChangeArrowheads="1"/>
          </xdr:cNvSpPr>
        </xdr:nvSpPr>
        <xdr:spPr bwMode="auto">
          <a:xfrm>
            <a:off x="1466" y="3002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92" name="Rectangle 69">
            <a:extLst>
              <a:ext uri="{FF2B5EF4-FFF2-40B4-BE49-F238E27FC236}">
                <a16:creationId xmlns:a16="http://schemas.microsoft.com/office/drawing/2014/main" id="{239ACF19-BB35-4D37-9EB4-AB641413DB71}"/>
              </a:ext>
            </a:extLst>
          </xdr:cNvPr>
          <xdr:cNvSpPr>
            <a:spLocks noChangeArrowheads="1"/>
          </xdr:cNvSpPr>
        </xdr:nvSpPr>
        <xdr:spPr bwMode="auto">
          <a:xfrm>
            <a:off x="1514" y="3002"/>
            <a:ext cx="23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93" name="Rectangle 70">
            <a:extLst>
              <a:ext uri="{FF2B5EF4-FFF2-40B4-BE49-F238E27FC236}">
                <a16:creationId xmlns:a16="http://schemas.microsoft.com/office/drawing/2014/main" id="{46122AB7-F090-4E28-8747-491F95E335B6}"/>
              </a:ext>
            </a:extLst>
          </xdr:cNvPr>
          <xdr:cNvSpPr>
            <a:spLocks noChangeArrowheads="1"/>
          </xdr:cNvSpPr>
        </xdr:nvSpPr>
        <xdr:spPr bwMode="auto">
          <a:xfrm>
            <a:off x="1564" y="3002"/>
            <a:ext cx="21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94" name="Rectangle 71">
            <a:extLst>
              <a:ext uri="{FF2B5EF4-FFF2-40B4-BE49-F238E27FC236}">
                <a16:creationId xmlns:a16="http://schemas.microsoft.com/office/drawing/2014/main" id="{A23C9D8A-AB51-4ECA-8664-CC4D3D3D435F}"/>
              </a:ext>
            </a:extLst>
          </xdr:cNvPr>
          <xdr:cNvSpPr>
            <a:spLocks noChangeArrowheads="1"/>
          </xdr:cNvSpPr>
        </xdr:nvSpPr>
        <xdr:spPr bwMode="auto">
          <a:xfrm>
            <a:off x="1611" y="3002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95" name="Rectangle 72">
            <a:extLst>
              <a:ext uri="{FF2B5EF4-FFF2-40B4-BE49-F238E27FC236}">
                <a16:creationId xmlns:a16="http://schemas.microsoft.com/office/drawing/2014/main" id="{52C2EFA0-E877-4303-825E-BEA06B4B08B7}"/>
              </a:ext>
            </a:extLst>
          </xdr:cNvPr>
          <xdr:cNvSpPr>
            <a:spLocks noChangeArrowheads="1"/>
          </xdr:cNvSpPr>
        </xdr:nvSpPr>
        <xdr:spPr bwMode="auto">
          <a:xfrm>
            <a:off x="1369" y="3106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96" name="Rectangle 73">
            <a:extLst>
              <a:ext uri="{FF2B5EF4-FFF2-40B4-BE49-F238E27FC236}">
                <a16:creationId xmlns:a16="http://schemas.microsoft.com/office/drawing/2014/main" id="{79823058-F385-46B1-BA1E-75BB6063DFBB}"/>
              </a:ext>
            </a:extLst>
          </xdr:cNvPr>
          <xdr:cNvSpPr>
            <a:spLocks noChangeArrowheads="1"/>
          </xdr:cNvSpPr>
        </xdr:nvSpPr>
        <xdr:spPr bwMode="auto">
          <a:xfrm>
            <a:off x="1416" y="3106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97" name="Rectangle 74">
            <a:extLst>
              <a:ext uri="{FF2B5EF4-FFF2-40B4-BE49-F238E27FC236}">
                <a16:creationId xmlns:a16="http://schemas.microsoft.com/office/drawing/2014/main" id="{30695EB1-F4C0-4A6A-ABB0-DB4A358AFDBE}"/>
              </a:ext>
            </a:extLst>
          </xdr:cNvPr>
          <xdr:cNvSpPr>
            <a:spLocks noChangeArrowheads="1"/>
          </xdr:cNvSpPr>
        </xdr:nvSpPr>
        <xdr:spPr bwMode="auto">
          <a:xfrm>
            <a:off x="1466" y="3106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98" name="Rectangle 75">
            <a:extLst>
              <a:ext uri="{FF2B5EF4-FFF2-40B4-BE49-F238E27FC236}">
                <a16:creationId xmlns:a16="http://schemas.microsoft.com/office/drawing/2014/main" id="{739EAEE4-9B04-49EE-BB2E-66999AFE2529}"/>
              </a:ext>
            </a:extLst>
          </xdr:cNvPr>
          <xdr:cNvSpPr>
            <a:spLocks noChangeArrowheads="1"/>
          </xdr:cNvSpPr>
        </xdr:nvSpPr>
        <xdr:spPr bwMode="auto">
          <a:xfrm>
            <a:off x="1514" y="3106"/>
            <a:ext cx="23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399" name="Rectangle 76">
            <a:extLst>
              <a:ext uri="{FF2B5EF4-FFF2-40B4-BE49-F238E27FC236}">
                <a16:creationId xmlns:a16="http://schemas.microsoft.com/office/drawing/2014/main" id="{398C0064-1E5A-4B53-AD7D-55406AE24B9F}"/>
              </a:ext>
            </a:extLst>
          </xdr:cNvPr>
          <xdr:cNvSpPr>
            <a:spLocks noChangeArrowheads="1"/>
          </xdr:cNvSpPr>
        </xdr:nvSpPr>
        <xdr:spPr bwMode="auto">
          <a:xfrm>
            <a:off x="1564" y="3106"/>
            <a:ext cx="21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00" name="Rectangle 77">
            <a:extLst>
              <a:ext uri="{FF2B5EF4-FFF2-40B4-BE49-F238E27FC236}">
                <a16:creationId xmlns:a16="http://schemas.microsoft.com/office/drawing/2014/main" id="{CCAFCF5B-4F02-4185-9C69-8C074CA2A54B}"/>
              </a:ext>
            </a:extLst>
          </xdr:cNvPr>
          <xdr:cNvSpPr>
            <a:spLocks noChangeArrowheads="1"/>
          </xdr:cNvSpPr>
        </xdr:nvSpPr>
        <xdr:spPr bwMode="auto">
          <a:xfrm>
            <a:off x="1611" y="3106"/>
            <a:ext cx="24" cy="24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01" name="Rectangle 78">
            <a:extLst>
              <a:ext uri="{FF2B5EF4-FFF2-40B4-BE49-F238E27FC236}">
                <a16:creationId xmlns:a16="http://schemas.microsoft.com/office/drawing/2014/main" id="{1E5D8EA1-95F6-4E50-8D18-08FDB0B262E4}"/>
              </a:ext>
            </a:extLst>
          </xdr:cNvPr>
          <xdr:cNvSpPr>
            <a:spLocks noChangeArrowheads="1"/>
          </xdr:cNvSpPr>
        </xdr:nvSpPr>
        <xdr:spPr bwMode="auto">
          <a:xfrm>
            <a:off x="1369" y="3209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02" name="Rectangle 79">
            <a:extLst>
              <a:ext uri="{FF2B5EF4-FFF2-40B4-BE49-F238E27FC236}">
                <a16:creationId xmlns:a16="http://schemas.microsoft.com/office/drawing/2014/main" id="{7D003C91-7140-44D6-92B9-BF1E41D567AA}"/>
              </a:ext>
            </a:extLst>
          </xdr:cNvPr>
          <xdr:cNvSpPr>
            <a:spLocks noChangeArrowheads="1"/>
          </xdr:cNvSpPr>
        </xdr:nvSpPr>
        <xdr:spPr bwMode="auto">
          <a:xfrm>
            <a:off x="1416" y="3209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03" name="Rectangle 80">
            <a:extLst>
              <a:ext uri="{FF2B5EF4-FFF2-40B4-BE49-F238E27FC236}">
                <a16:creationId xmlns:a16="http://schemas.microsoft.com/office/drawing/2014/main" id="{7BCC7FFE-007C-48BB-B0F8-1CF7EDB87AA1}"/>
              </a:ext>
            </a:extLst>
          </xdr:cNvPr>
          <xdr:cNvSpPr>
            <a:spLocks noChangeArrowheads="1"/>
          </xdr:cNvSpPr>
        </xdr:nvSpPr>
        <xdr:spPr bwMode="auto">
          <a:xfrm>
            <a:off x="1466" y="3209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04" name="Rectangle 81">
            <a:extLst>
              <a:ext uri="{FF2B5EF4-FFF2-40B4-BE49-F238E27FC236}">
                <a16:creationId xmlns:a16="http://schemas.microsoft.com/office/drawing/2014/main" id="{48F1FCFA-B6CA-43D4-8F5B-82E1ED295710}"/>
              </a:ext>
            </a:extLst>
          </xdr:cNvPr>
          <xdr:cNvSpPr>
            <a:spLocks noChangeArrowheads="1"/>
          </xdr:cNvSpPr>
        </xdr:nvSpPr>
        <xdr:spPr bwMode="auto">
          <a:xfrm>
            <a:off x="1514" y="3209"/>
            <a:ext cx="23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05" name="Rectangle 82">
            <a:extLst>
              <a:ext uri="{FF2B5EF4-FFF2-40B4-BE49-F238E27FC236}">
                <a16:creationId xmlns:a16="http://schemas.microsoft.com/office/drawing/2014/main" id="{1F234EEC-BE2C-4679-B0A9-98D3F0252EA0}"/>
              </a:ext>
            </a:extLst>
          </xdr:cNvPr>
          <xdr:cNvSpPr>
            <a:spLocks noChangeArrowheads="1"/>
          </xdr:cNvSpPr>
        </xdr:nvSpPr>
        <xdr:spPr bwMode="auto">
          <a:xfrm>
            <a:off x="1564" y="3209"/>
            <a:ext cx="21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06" name="Rectangle 83">
            <a:extLst>
              <a:ext uri="{FF2B5EF4-FFF2-40B4-BE49-F238E27FC236}">
                <a16:creationId xmlns:a16="http://schemas.microsoft.com/office/drawing/2014/main" id="{8409D387-369E-4BA6-9C8D-8A3A8122C2C3}"/>
              </a:ext>
            </a:extLst>
          </xdr:cNvPr>
          <xdr:cNvSpPr>
            <a:spLocks noChangeArrowheads="1"/>
          </xdr:cNvSpPr>
        </xdr:nvSpPr>
        <xdr:spPr bwMode="auto">
          <a:xfrm>
            <a:off x="1611" y="3209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07" name="Rectangle 84">
            <a:extLst>
              <a:ext uri="{FF2B5EF4-FFF2-40B4-BE49-F238E27FC236}">
                <a16:creationId xmlns:a16="http://schemas.microsoft.com/office/drawing/2014/main" id="{DBF23A46-FF61-41FA-B000-2FFA9FF46D9A}"/>
              </a:ext>
            </a:extLst>
          </xdr:cNvPr>
          <xdr:cNvSpPr>
            <a:spLocks noChangeArrowheads="1"/>
          </xdr:cNvSpPr>
        </xdr:nvSpPr>
        <xdr:spPr bwMode="auto">
          <a:xfrm>
            <a:off x="1369" y="3311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08" name="Rectangle 85">
            <a:extLst>
              <a:ext uri="{FF2B5EF4-FFF2-40B4-BE49-F238E27FC236}">
                <a16:creationId xmlns:a16="http://schemas.microsoft.com/office/drawing/2014/main" id="{4B1058C4-2487-4EB3-9E13-40458FF4FD2D}"/>
              </a:ext>
            </a:extLst>
          </xdr:cNvPr>
          <xdr:cNvSpPr>
            <a:spLocks noChangeArrowheads="1"/>
          </xdr:cNvSpPr>
        </xdr:nvSpPr>
        <xdr:spPr bwMode="auto">
          <a:xfrm>
            <a:off x="1416" y="3311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09" name="Rectangle 86">
            <a:extLst>
              <a:ext uri="{FF2B5EF4-FFF2-40B4-BE49-F238E27FC236}">
                <a16:creationId xmlns:a16="http://schemas.microsoft.com/office/drawing/2014/main" id="{0669600E-EB27-4431-A63D-D14CDF4B34BD}"/>
              </a:ext>
            </a:extLst>
          </xdr:cNvPr>
          <xdr:cNvSpPr>
            <a:spLocks noChangeArrowheads="1"/>
          </xdr:cNvSpPr>
        </xdr:nvSpPr>
        <xdr:spPr bwMode="auto">
          <a:xfrm>
            <a:off x="1466" y="3311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10" name="Rectangle 87">
            <a:extLst>
              <a:ext uri="{FF2B5EF4-FFF2-40B4-BE49-F238E27FC236}">
                <a16:creationId xmlns:a16="http://schemas.microsoft.com/office/drawing/2014/main" id="{E72945E7-D3A9-4C13-B92D-807D366CC0CD}"/>
              </a:ext>
            </a:extLst>
          </xdr:cNvPr>
          <xdr:cNvSpPr>
            <a:spLocks noChangeArrowheads="1"/>
          </xdr:cNvSpPr>
        </xdr:nvSpPr>
        <xdr:spPr bwMode="auto">
          <a:xfrm>
            <a:off x="1514" y="3311"/>
            <a:ext cx="23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11" name="Rectangle 88">
            <a:extLst>
              <a:ext uri="{FF2B5EF4-FFF2-40B4-BE49-F238E27FC236}">
                <a16:creationId xmlns:a16="http://schemas.microsoft.com/office/drawing/2014/main" id="{FD13DF63-B4A9-4FC4-962B-AA4BACFE8623}"/>
              </a:ext>
            </a:extLst>
          </xdr:cNvPr>
          <xdr:cNvSpPr>
            <a:spLocks noChangeArrowheads="1"/>
          </xdr:cNvSpPr>
        </xdr:nvSpPr>
        <xdr:spPr bwMode="auto">
          <a:xfrm>
            <a:off x="1564" y="3311"/>
            <a:ext cx="21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  <xdr:sp macro="" textlink="">
        <xdr:nvSpPr>
          <xdr:cNvPr id="412" name="Rectangle 89">
            <a:extLst>
              <a:ext uri="{FF2B5EF4-FFF2-40B4-BE49-F238E27FC236}">
                <a16:creationId xmlns:a16="http://schemas.microsoft.com/office/drawing/2014/main" id="{74D9FDEC-F190-4C4C-AAA0-5DC4486DAC39}"/>
              </a:ext>
            </a:extLst>
          </xdr:cNvPr>
          <xdr:cNvSpPr>
            <a:spLocks noChangeArrowheads="1"/>
          </xdr:cNvSpPr>
        </xdr:nvSpPr>
        <xdr:spPr bwMode="auto">
          <a:xfrm>
            <a:off x="1611" y="3311"/>
            <a:ext cx="24" cy="23"/>
          </a:xfrm>
          <a:prstGeom prst="rect">
            <a:avLst/>
          </a:prstGeom>
          <a:solidFill>
            <a:srgbClr val="59565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1pPr>
            <a:lvl2pPr marL="457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2pPr>
            <a:lvl3pPr marL="914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3pPr>
            <a:lvl4pPr marL="1371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4pPr>
            <a:lvl5pPr marL="18288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5pPr>
            <a:lvl6pPr marL="22860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6pPr>
            <a:lvl7pPr marL="27432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7pPr>
            <a:lvl8pPr marL="32004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8pPr>
            <a:lvl9pPr marL="3657600" algn="l" defTabSz="914400" rtl="0" eaLnBrk="1" latinLnBrk="0" hangingPunct="1">
              <a:defRPr sz="1800" kern="1200">
                <a:solidFill>
                  <a:srgbClr val="45546A"/>
                </a:solidFill>
                <a:latin typeface="Lato Light"/>
              </a:defRPr>
            </a:lvl9pPr>
          </a:lstStyle>
          <a:p>
            <a:endParaRPr lang="id-ID"/>
          </a:p>
        </xdr:txBody>
      </xdr:sp>
    </xdr:grpSp>
    <xdr:clientData/>
  </xdr:twoCellAnchor>
  <xdr:twoCellAnchor>
    <xdr:from>
      <xdr:col>22</xdr:col>
      <xdr:colOff>38100</xdr:colOff>
      <xdr:row>27</xdr:row>
      <xdr:rowOff>285749</xdr:rowOff>
    </xdr:from>
    <xdr:to>
      <xdr:col>24</xdr:col>
      <xdr:colOff>857250</xdr:colOff>
      <xdr:row>32</xdr:row>
      <xdr:rowOff>258534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972760E0-7412-43E3-AEAC-4A37A5011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20</xdr:col>
      <xdr:colOff>707573</xdr:colOff>
      <xdr:row>25</xdr:row>
      <xdr:rowOff>195943</xdr:rowOff>
    </xdr:from>
    <xdr:ext cx="3199658" cy="438710"/>
    <xdr:sp macro="" textlink="">
      <xdr:nvSpPr>
        <xdr:cNvPr id="413" name="CaixaDeTexto 412">
          <a:extLst>
            <a:ext uri="{FF2B5EF4-FFF2-40B4-BE49-F238E27FC236}">
              <a16:creationId xmlns:a16="http://schemas.microsoft.com/office/drawing/2014/main" id="{379B7990-A094-45E1-B86E-1FBE814BA4FE}"/>
            </a:ext>
          </a:extLst>
        </xdr:cNvPr>
        <xdr:cNvSpPr txBox="1"/>
      </xdr:nvSpPr>
      <xdr:spPr>
        <a:xfrm>
          <a:off x="21224423" y="7739743"/>
          <a:ext cx="3199658" cy="4387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b="1">
              <a:solidFill>
                <a:schemeClr val="tx2">
                  <a:lumMod val="50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Pedidos</a:t>
          </a:r>
          <a:r>
            <a:rPr lang="pt-BR" sz="2000" b="1" baseline="0">
              <a:solidFill>
                <a:schemeClr val="tx2">
                  <a:lumMod val="50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 por Fornecedor</a:t>
          </a:r>
          <a:endParaRPr lang="pt-BR" sz="2000" b="1">
            <a:solidFill>
              <a:schemeClr val="tx2">
                <a:lumMod val="50000"/>
              </a:schemeClr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oneCellAnchor>
  <xdr:twoCellAnchor>
    <xdr:from>
      <xdr:col>26</xdr:col>
      <xdr:colOff>449036</xdr:colOff>
      <xdr:row>16</xdr:row>
      <xdr:rowOff>27215</xdr:rowOff>
    </xdr:from>
    <xdr:to>
      <xdr:col>31</xdr:col>
      <xdr:colOff>789214</xdr:colOff>
      <xdr:row>27</xdr:row>
      <xdr:rowOff>244929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C5D52DF5-ADEA-4608-A28D-5245FA5C3E91}"/>
            </a:ext>
          </a:extLst>
        </xdr:cNvPr>
        <xdr:cNvGrpSpPr/>
      </xdr:nvGrpSpPr>
      <xdr:grpSpPr>
        <a:xfrm>
          <a:off x="25747436" y="5170715"/>
          <a:ext cx="6379028" cy="3246664"/>
          <a:chOff x="23948572" y="4724401"/>
          <a:chExt cx="4851622" cy="2777218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970EA395-2899-4D92-8555-AA0A57228CF1}"/>
              </a:ext>
            </a:extLst>
          </xdr:cNvPr>
          <xdr:cNvGrpSpPr/>
        </xdr:nvGrpSpPr>
        <xdr:grpSpPr>
          <a:xfrm>
            <a:off x="23948572" y="4724401"/>
            <a:ext cx="4851622" cy="2777218"/>
            <a:chOff x="24571555" y="4709427"/>
            <a:chExt cx="6239467" cy="2743200"/>
          </a:xfrm>
        </xdr:grpSpPr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4FC20C60-DE99-4F4A-80F9-FA9584E563D7}"/>
                </a:ext>
              </a:extLst>
            </xdr:cNvPr>
            <xdr:cNvGraphicFramePr/>
          </xdr:nvGraphicFramePr>
          <xdr:xfrm>
            <a:off x="24571555" y="4709427"/>
            <a:ext cx="6239467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cxnSp macro="">
          <xdr:nvCxnSpPr>
            <xdr:cNvPr id="156" name="Conector reto 155">
              <a:extLst>
                <a:ext uri="{FF2B5EF4-FFF2-40B4-BE49-F238E27FC236}">
                  <a16:creationId xmlns:a16="http://schemas.microsoft.com/office/drawing/2014/main" id="{AB4E1860-6907-47C1-8C7D-D4FD8999A20F}"/>
                </a:ext>
              </a:extLst>
            </xdr:cNvPr>
            <xdr:cNvCxnSpPr/>
          </xdr:nvCxnSpPr>
          <xdr:spPr>
            <a:xfrm>
              <a:off x="28560641" y="5295491"/>
              <a:ext cx="0" cy="1690687"/>
            </a:xfrm>
            <a:prstGeom prst="line">
              <a:avLst/>
            </a:prstGeom>
            <a:ln>
              <a:prstDash val="dash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E027C834-89F5-40CF-9552-AB0D8A845C65}"/>
                </a:ext>
              </a:extLst>
            </xdr:cNvPr>
            <xdr:cNvSpPr txBox="1"/>
          </xdr:nvSpPr>
          <xdr:spPr>
            <a:xfrm>
              <a:off x="25974029" y="5242939"/>
              <a:ext cx="1192034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600"/>
                <a:t>DesvPad (-)</a:t>
              </a:r>
            </a:p>
          </xdr:txBody>
        </xdr:sp>
        <xdr:sp macro="" textlink="">
          <xdr:nvSpPr>
            <xdr:cNvPr id="158" name="CaixaDeTexto 157">
              <a:extLst>
                <a:ext uri="{FF2B5EF4-FFF2-40B4-BE49-F238E27FC236}">
                  <a16:creationId xmlns:a16="http://schemas.microsoft.com/office/drawing/2014/main" id="{548EA986-F14B-443C-BB6A-E608905111ED}"/>
                </a:ext>
              </a:extLst>
            </xdr:cNvPr>
            <xdr:cNvSpPr txBox="1"/>
          </xdr:nvSpPr>
          <xdr:spPr>
            <a:xfrm>
              <a:off x="28693209" y="5243189"/>
              <a:ext cx="1252827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600"/>
                <a:t>DesvPad (+)</a:t>
              </a:r>
            </a:p>
          </xdr:txBody>
        </xdr:sp>
        <xdr:cxnSp macro="">
          <xdr:nvCxnSpPr>
            <xdr:cNvPr id="153" name="Conector reto 152">
              <a:extLst>
                <a:ext uri="{FF2B5EF4-FFF2-40B4-BE49-F238E27FC236}">
                  <a16:creationId xmlns:a16="http://schemas.microsoft.com/office/drawing/2014/main" id="{29D6FA81-DB1D-43AD-83F1-4BACE0C0D4AB}"/>
                </a:ext>
              </a:extLst>
            </xdr:cNvPr>
            <xdr:cNvCxnSpPr/>
          </xdr:nvCxnSpPr>
          <xdr:spPr>
            <a:xfrm>
              <a:off x="27159286" y="5296334"/>
              <a:ext cx="0" cy="1690687"/>
            </a:xfrm>
            <a:prstGeom prst="line">
              <a:avLst/>
            </a:prstGeom>
            <a:ln>
              <a:prstDash val="dash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61" name="Imagem 160">
                <a:extLst>
                  <a:ext uri="{FF2B5EF4-FFF2-40B4-BE49-F238E27FC236}">
                    <a16:creationId xmlns:a16="http://schemas.microsoft.com/office/drawing/2014/main" id="{CE140EB5-55B9-4F26-8411-D97BD7A05DCA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Apoio Graf'!$C$140" spid="_x0000_s18058"/>
                  </a:ext>
                </a:extLst>
              </xdr:cNvPicPr>
            </xdr:nvPicPr>
            <xdr:blipFill rotWithShape="1">
              <a:blip xmlns:r="http://schemas.openxmlformats.org/officeDocument/2006/relationships" r:embed="rId13"/>
              <a:srcRect l="35072" t="15975" r="27343" b="10247"/>
              <a:stretch>
                <a:fillRect/>
              </a:stretch>
            </xdr:blipFill>
            <xdr:spPr bwMode="auto">
              <a:xfrm>
                <a:off x="25255762" y="5527190"/>
                <a:ext cx="642558" cy="22278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162" name="Imagem 161">
                <a:extLst>
                  <a:ext uri="{FF2B5EF4-FFF2-40B4-BE49-F238E27FC236}">
                    <a16:creationId xmlns:a16="http://schemas.microsoft.com/office/drawing/2014/main" id="{DBEEB550-0778-404A-BCAF-B387DB99038B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Apoio Graf'!$C$141" spid="_x0000_s18059"/>
                  </a:ext>
                </a:extLst>
              </xdr:cNvPicPr>
            </xdr:nvPicPr>
            <xdr:blipFill rotWithShape="1">
              <a:blip xmlns:r="http://schemas.openxmlformats.org/officeDocument/2006/relationships" r:embed="rId14"/>
              <a:srcRect l="34466" t="19237" r="31469" b="11067"/>
              <a:stretch>
                <a:fillRect/>
              </a:stretch>
            </xdr:blipFill>
            <xdr:spPr bwMode="auto">
              <a:xfrm>
                <a:off x="27280603" y="5540793"/>
                <a:ext cx="558273" cy="203239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 editAs="oneCell">
    <xdr:from>
      <xdr:col>31</xdr:col>
      <xdr:colOff>788059</xdr:colOff>
      <xdr:row>4</xdr:row>
      <xdr:rowOff>172384</xdr:rowOff>
    </xdr:from>
    <xdr:to>
      <xdr:col>33</xdr:col>
      <xdr:colOff>878079</xdr:colOff>
      <xdr:row>5</xdr:row>
      <xdr:rowOff>173239</xdr:rowOff>
    </xdr:to>
    <xdr:pic>
      <xdr:nvPicPr>
        <xdr:cNvPr id="7650" name="Imagem 7649">
          <a:extLst>
            <a:ext uri="{FF2B5EF4-FFF2-40B4-BE49-F238E27FC236}">
              <a16:creationId xmlns:a16="http://schemas.microsoft.com/office/drawing/2014/main" id="{36D07CED-CF39-42FA-BC47-DF5A38E397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18636" b="25457"/>
        <a:stretch/>
      </xdr:blipFill>
      <xdr:spPr>
        <a:xfrm>
          <a:off x="31896709" y="2096434"/>
          <a:ext cx="3385670" cy="286605"/>
        </a:xfrm>
        <a:prstGeom prst="rect">
          <a:avLst/>
        </a:prstGeom>
      </xdr:spPr>
    </xdr:pic>
    <xdr:clientData/>
  </xdr:twoCellAnchor>
  <xdr:twoCellAnchor>
    <xdr:from>
      <xdr:col>33</xdr:col>
      <xdr:colOff>404860</xdr:colOff>
      <xdr:row>18</xdr:row>
      <xdr:rowOff>112935</xdr:rowOff>
    </xdr:from>
    <xdr:to>
      <xdr:col>33</xdr:col>
      <xdr:colOff>1116414</xdr:colOff>
      <xdr:row>18</xdr:row>
      <xdr:rowOff>112935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B122A2F9-E8AF-49AD-990B-69ED3EDE62EE}"/>
            </a:ext>
          </a:extLst>
        </xdr:cNvPr>
        <xdr:cNvCxnSpPr/>
      </xdr:nvCxnSpPr>
      <xdr:spPr>
        <a:xfrm>
          <a:off x="34885360" y="5789835"/>
          <a:ext cx="711554" cy="0"/>
        </a:xfrm>
        <a:prstGeom prst="straightConnector1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27216</xdr:colOff>
      <xdr:row>27</xdr:row>
      <xdr:rowOff>231321</xdr:rowOff>
    </xdr:from>
    <xdr:to>
      <xdr:col>33</xdr:col>
      <xdr:colOff>666750</xdr:colOff>
      <xdr:row>33</xdr:row>
      <xdr:rowOff>122464</xdr:rowOff>
    </xdr:to>
    <xdr:graphicFrame macro="">
      <xdr:nvGraphicFramePr>
        <xdr:cNvPr id="154" name="Gráfico 153">
          <a:extLst>
            <a:ext uri="{FF2B5EF4-FFF2-40B4-BE49-F238E27FC236}">
              <a16:creationId xmlns:a16="http://schemas.microsoft.com/office/drawing/2014/main" id="{49B2913D-1171-4021-A134-33A83DA7D5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54428</xdr:colOff>
      <xdr:row>0</xdr:row>
      <xdr:rowOff>81643</xdr:rowOff>
    </xdr:from>
    <xdr:to>
      <xdr:col>4</xdr:col>
      <xdr:colOff>774428</xdr:colOff>
      <xdr:row>0</xdr:row>
      <xdr:rowOff>801643</xdr:rowOff>
    </xdr:to>
    <xdr:sp macro="[0]!Macro" textlink="">
      <xdr:nvSpPr>
        <xdr:cNvPr id="8" name="Elipse 7">
          <a:extLst>
            <a:ext uri="{FF2B5EF4-FFF2-40B4-BE49-F238E27FC236}">
              <a16:creationId xmlns:a16="http://schemas.microsoft.com/office/drawing/2014/main" id="{D6927D48-AC21-4D1A-A343-B70750B572B2}"/>
            </a:ext>
          </a:extLst>
        </xdr:cNvPr>
        <xdr:cNvSpPr/>
      </xdr:nvSpPr>
      <xdr:spPr>
        <a:xfrm>
          <a:off x="4272642" y="81643"/>
          <a:ext cx="720000" cy="720000"/>
        </a:xfrm>
        <a:prstGeom prst="ellipse">
          <a:avLst/>
        </a:prstGeom>
        <a:solidFill>
          <a:srgbClr val="00B05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angle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50" b="1">
              <a:solidFill>
                <a:schemeClr val="bg1"/>
              </a:solidFill>
            </a:rPr>
            <a:t>START</a:t>
          </a:r>
        </a:p>
      </xdr:txBody>
    </xdr:sp>
    <xdr:clientData/>
  </xdr:twoCellAnchor>
  <xdr:twoCellAnchor editAs="oneCell">
    <xdr:from>
      <xdr:col>21</xdr:col>
      <xdr:colOff>576961</xdr:colOff>
      <xdr:row>0</xdr:row>
      <xdr:rowOff>543218</xdr:rowOff>
    </xdr:from>
    <xdr:to>
      <xdr:col>21</xdr:col>
      <xdr:colOff>866764</xdr:colOff>
      <xdr:row>0</xdr:row>
      <xdr:rowOff>831100</xdr:rowOff>
    </xdr:to>
    <xdr:pic>
      <xdr:nvPicPr>
        <xdr:cNvPr id="13" name="Imagem 1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DA4F07C-715F-4C3F-B5CE-823C2A592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55511" y="543218"/>
          <a:ext cx="289803" cy="287882"/>
        </a:xfrm>
        <a:prstGeom prst="rect">
          <a:avLst/>
        </a:prstGeom>
      </xdr:spPr>
    </xdr:pic>
    <xdr:clientData/>
  </xdr:twoCellAnchor>
  <xdr:oneCellAnchor>
    <xdr:from>
      <xdr:col>21</xdr:col>
      <xdr:colOff>805547</xdr:colOff>
      <xdr:row>0</xdr:row>
      <xdr:rowOff>571499</xdr:rowOff>
    </xdr:from>
    <xdr:ext cx="2603661" cy="311496"/>
    <xdr:sp macro="" textlink="">
      <xdr:nvSpPr>
        <xdr:cNvPr id="14" name="CaixaDeTexto 1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A77FA2C-7459-4B63-8F8B-2A1DEEBF9BF7}"/>
            </a:ext>
          </a:extLst>
        </xdr:cNvPr>
        <xdr:cNvSpPr txBox="1"/>
      </xdr:nvSpPr>
      <xdr:spPr>
        <a:xfrm>
          <a:off x="19684097" y="571499"/>
          <a:ext cx="260366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i="1"/>
            <a:t>Desenvolvido por</a:t>
          </a:r>
          <a:r>
            <a:rPr lang="pt-BR" sz="1400" i="1" baseline="0"/>
            <a:t> Daniel Meireles</a:t>
          </a:r>
          <a:endParaRPr lang="pt-BR" sz="1400" i="1"/>
        </a:p>
      </xdr:txBody>
    </xdr:sp>
    <xdr:clientData/>
  </xdr:oneCellAnchor>
  <xdr:twoCellAnchor>
    <xdr:from>
      <xdr:col>7</xdr:col>
      <xdr:colOff>723900</xdr:colOff>
      <xdr:row>0</xdr:row>
      <xdr:rowOff>57150</xdr:rowOff>
    </xdr:from>
    <xdr:to>
      <xdr:col>19</xdr:col>
      <xdr:colOff>457200</xdr:colOff>
      <xdr:row>0</xdr:row>
      <xdr:rowOff>819150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FCB2D68C-F3B8-462F-8516-04730DDF6D40}"/>
            </a:ext>
          </a:extLst>
        </xdr:cNvPr>
        <xdr:cNvSpPr/>
      </xdr:nvSpPr>
      <xdr:spPr>
        <a:xfrm>
          <a:off x="8401050" y="57150"/>
          <a:ext cx="11906250" cy="762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2200" b="1" i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 equipe</a:t>
          </a:r>
          <a:r>
            <a:rPr lang="pt-BR" sz="2200" b="1" i="1" baseline="0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comercial</a:t>
          </a:r>
          <a:r>
            <a:rPr lang="pt-BR" sz="2200" b="1" i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informou</a:t>
          </a:r>
          <a:r>
            <a:rPr lang="pt-BR" sz="2200" b="1" i="1" baseline="0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que as demandas iniciam dia 7. Prepare seu estoque! </a:t>
          </a:r>
          <a:endParaRPr lang="pt-BR" sz="2200" b="1" i="1">
            <a:solidFill>
              <a:schemeClr val="accent2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0.48145</cdr:x>
      <cdr:y>0.01254</cdr:y>
    </cdr:from>
    <cdr:to>
      <cdr:x>0.50478</cdr:x>
      <cdr:y>0.15339</cdr:y>
    </cdr:to>
    <cdr:sp macro="" textlink="">
      <cdr:nvSpPr>
        <cdr:cNvPr id="3" name="Freeform 8"/>
        <cdr:cNvSpPr>
          <a:spLocks xmlns:a="http://schemas.openxmlformats.org/drawingml/2006/main" noEditPoints="1"/>
        </cdr:cNvSpPr>
      </cdr:nvSpPr>
      <cdr:spPr bwMode="auto">
        <a:xfrm xmlns:a="http://schemas.openxmlformats.org/drawingml/2006/main">
          <a:off x="9568545" y="80984"/>
          <a:ext cx="463753" cy="909616"/>
        </a:xfrm>
        <a:custGeom xmlns:a="http://schemas.openxmlformats.org/drawingml/2006/main">
          <a:avLst/>
          <a:gdLst>
            <a:gd name="T0" fmla="*/ 36 w 469"/>
            <a:gd name="T1" fmla="*/ 958 h 993"/>
            <a:gd name="T2" fmla="*/ 146 w 469"/>
            <a:gd name="T3" fmla="*/ 984 h 993"/>
            <a:gd name="T4" fmla="*/ 111 w 469"/>
            <a:gd name="T5" fmla="*/ 950 h 993"/>
            <a:gd name="T6" fmla="*/ 93 w 469"/>
            <a:gd name="T7" fmla="*/ 895 h 993"/>
            <a:gd name="T8" fmla="*/ 212 w 469"/>
            <a:gd name="T9" fmla="*/ 762 h 993"/>
            <a:gd name="T10" fmla="*/ 280 w 469"/>
            <a:gd name="T11" fmla="*/ 712 h 993"/>
            <a:gd name="T12" fmla="*/ 404 w 469"/>
            <a:gd name="T13" fmla="*/ 720 h 993"/>
            <a:gd name="T14" fmla="*/ 383 w 469"/>
            <a:gd name="T15" fmla="*/ 619 h 993"/>
            <a:gd name="T16" fmla="*/ 295 w 469"/>
            <a:gd name="T17" fmla="*/ 513 h 993"/>
            <a:gd name="T18" fmla="*/ 310 w 469"/>
            <a:gd name="T19" fmla="*/ 463 h 993"/>
            <a:gd name="T20" fmla="*/ 342 w 469"/>
            <a:gd name="T21" fmla="*/ 334 h 993"/>
            <a:gd name="T22" fmla="*/ 426 w 469"/>
            <a:gd name="T23" fmla="*/ 295 h 993"/>
            <a:gd name="T24" fmla="*/ 444 w 469"/>
            <a:gd name="T25" fmla="*/ 220 h 993"/>
            <a:gd name="T26" fmla="*/ 441 w 469"/>
            <a:gd name="T27" fmla="*/ 185 h 993"/>
            <a:gd name="T28" fmla="*/ 437 w 469"/>
            <a:gd name="T29" fmla="*/ 146 h 993"/>
            <a:gd name="T30" fmla="*/ 412 w 469"/>
            <a:gd name="T31" fmla="*/ 151 h 993"/>
            <a:gd name="T32" fmla="*/ 386 w 469"/>
            <a:gd name="T33" fmla="*/ 179 h 993"/>
            <a:gd name="T34" fmla="*/ 407 w 469"/>
            <a:gd name="T35" fmla="*/ 237 h 993"/>
            <a:gd name="T36" fmla="*/ 362 w 469"/>
            <a:gd name="T37" fmla="*/ 255 h 993"/>
            <a:gd name="T38" fmla="*/ 309 w 469"/>
            <a:gd name="T39" fmla="*/ 181 h 993"/>
            <a:gd name="T40" fmla="*/ 339 w 469"/>
            <a:gd name="T41" fmla="*/ 121 h 993"/>
            <a:gd name="T42" fmla="*/ 342 w 469"/>
            <a:gd name="T43" fmla="*/ 89 h 993"/>
            <a:gd name="T44" fmla="*/ 315 w 469"/>
            <a:gd name="T45" fmla="*/ 26 h 993"/>
            <a:gd name="T46" fmla="*/ 312 w 469"/>
            <a:gd name="T47" fmla="*/ 26 h 993"/>
            <a:gd name="T48" fmla="*/ 303 w 469"/>
            <a:gd name="T49" fmla="*/ 21 h 993"/>
            <a:gd name="T50" fmla="*/ 286 w 469"/>
            <a:gd name="T51" fmla="*/ 16 h 993"/>
            <a:gd name="T52" fmla="*/ 275 w 469"/>
            <a:gd name="T53" fmla="*/ 15 h 993"/>
            <a:gd name="T54" fmla="*/ 293 w 469"/>
            <a:gd name="T55" fmla="*/ 24 h 993"/>
            <a:gd name="T56" fmla="*/ 288 w 469"/>
            <a:gd name="T57" fmla="*/ 25 h 993"/>
            <a:gd name="T58" fmla="*/ 251 w 469"/>
            <a:gd name="T59" fmla="*/ 24 h 993"/>
            <a:gd name="T60" fmla="*/ 250 w 469"/>
            <a:gd name="T61" fmla="*/ 138 h 993"/>
            <a:gd name="T62" fmla="*/ 230 w 469"/>
            <a:gd name="T63" fmla="*/ 184 h 993"/>
            <a:gd name="T64" fmla="*/ 194 w 469"/>
            <a:gd name="T65" fmla="*/ 221 h 993"/>
            <a:gd name="T66" fmla="*/ 95 w 469"/>
            <a:gd name="T67" fmla="*/ 333 h 993"/>
            <a:gd name="T68" fmla="*/ 137 w 469"/>
            <a:gd name="T69" fmla="*/ 496 h 993"/>
            <a:gd name="T70" fmla="*/ 147 w 469"/>
            <a:gd name="T71" fmla="*/ 542 h 993"/>
            <a:gd name="T72" fmla="*/ 161 w 469"/>
            <a:gd name="T73" fmla="*/ 523 h 993"/>
            <a:gd name="T74" fmla="*/ 177 w 469"/>
            <a:gd name="T75" fmla="*/ 587 h 993"/>
            <a:gd name="T76" fmla="*/ 142 w 469"/>
            <a:gd name="T77" fmla="*/ 601 h 993"/>
            <a:gd name="T78" fmla="*/ 79 w 469"/>
            <a:gd name="T79" fmla="*/ 706 h 993"/>
            <a:gd name="T80" fmla="*/ 128 w 469"/>
            <a:gd name="T81" fmla="*/ 702 h 993"/>
            <a:gd name="T82" fmla="*/ 136 w 469"/>
            <a:gd name="T83" fmla="*/ 737 h 993"/>
            <a:gd name="T84" fmla="*/ 62 w 469"/>
            <a:gd name="T85" fmla="*/ 850 h 993"/>
            <a:gd name="T86" fmla="*/ 26 w 469"/>
            <a:gd name="T87" fmla="*/ 889 h 993"/>
            <a:gd name="T88" fmla="*/ 170 w 469"/>
            <a:gd name="T89" fmla="*/ 448 h 993"/>
            <a:gd name="T90" fmla="*/ 152 w 469"/>
            <a:gd name="T91" fmla="*/ 320 h 993"/>
            <a:gd name="T92" fmla="*/ 165 w 469"/>
            <a:gd name="T93" fmla="*/ 313 h 993"/>
            <a:gd name="T94" fmla="*/ 195 w 469"/>
            <a:gd name="T95" fmla="*/ 298 h 993"/>
            <a:gd name="T96" fmla="*/ 197 w 469"/>
            <a:gd name="T97" fmla="*/ 297 h 993"/>
            <a:gd name="T98" fmla="*/ 220 w 469"/>
            <a:gd name="T99" fmla="*/ 390 h 993"/>
            <a:gd name="T100" fmla="*/ 172 w 469"/>
            <a:gd name="T101" fmla="*/ 450 h 99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469" h="993">
              <a:moveTo>
                <a:pt x="1" y="928"/>
              </a:moveTo>
              <a:cubicBezTo>
                <a:pt x="2" y="937"/>
                <a:pt x="5" y="941"/>
                <a:pt x="11" y="947"/>
              </a:cubicBezTo>
              <a:cubicBezTo>
                <a:pt x="13" y="949"/>
                <a:pt x="17" y="951"/>
                <a:pt x="20" y="951"/>
              </a:cubicBezTo>
              <a:cubicBezTo>
                <a:pt x="26" y="953"/>
                <a:pt x="31" y="956"/>
                <a:pt x="36" y="958"/>
              </a:cubicBezTo>
              <a:cubicBezTo>
                <a:pt x="46" y="962"/>
                <a:pt x="54" y="968"/>
                <a:pt x="63" y="972"/>
              </a:cubicBezTo>
              <a:cubicBezTo>
                <a:pt x="73" y="977"/>
                <a:pt x="81" y="984"/>
                <a:pt x="91" y="989"/>
              </a:cubicBezTo>
              <a:cubicBezTo>
                <a:pt x="99" y="993"/>
                <a:pt x="107" y="990"/>
                <a:pt x="116" y="990"/>
              </a:cubicBezTo>
              <a:cubicBezTo>
                <a:pt x="125" y="989"/>
                <a:pt x="137" y="987"/>
                <a:pt x="146" y="984"/>
              </a:cubicBezTo>
              <a:cubicBezTo>
                <a:pt x="151" y="982"/>
                <a:pt x="155" y="978"/>
                <a:pt x="156" y="972"/>
              </a:cubicBezTo>
              <a:cubicBezTo>
                <a:pt x="157" y="967"/>
                <a:pt x="149" y="963"/>
                <a:pt x="145" y="962"/>
              </a:cubicBezTo>
              <a:cubicBezTo>
                <a:pt x="141" y="961"/>
                <a:pt x="135" y="961"/>
                <a:pt x="131" y="960"/>
              </a:cubicBezTo>
              <a:cubicBezTo>
                <a:pt x="124" y="958"/>
                <a:pt x="117" y="954"/>
                <a:pt x="111" y="950"/>
              </a:cubicBezTo>
              <a:cubicBezTo>
                <a:pt x="110" y="949"/>
                <a:pt x="96" y="939"/>
                <a:pt x="97" y="936"/>
              </a:cubicBezTo>
              <a:cubicBezTo>
                <a:pt x="97" y="929"/>
                <a:pt x="101" y="923"/>
                <a:pt x="104" y="917"/>
              </a:cubicBezTo>
              <a:cubicBezTo>
                <a:pt x="107" y="911"/>
                <a:pt x="108" y="906"/>
                <a:pt x="105" y="900"/>
              </a:cubicBezTo>
              <a:cubicBezTo>
                <a:pt x="104" y="896"/>
                <a:pt x="97" y="895"/>
                <a:pt x="93" y="895"/>
              </a:cubicBezTo>
              <a:cubicBezTo>
                <a:pt x="105" y="881"/>
                <a:pt x="119" y="868"/>
                <a:pt x="132" y="854"/>
              </a:cubicBezTo>
              <a:cubicBezTo>
                <a:pt x="141" y="844"/>
                <a:pt x="150" y="832"/>
                <a:pt x="160" y="822"/>
              </a:cubicBezTo>
              <a:cubicBezTo>
                <a:pt x="168" y="814"/>
                <a:pt x="178" y="805"/>
                <a:pt x="185" y="796"/>
              </a:cubicBezTo>
              <a:cubicBezTo>
                <a:pt x="194" y="785"/>
                <a:pt x="203" y="773"/>
                <a:pt x="212" y="762"/>
              </a:cubicBezTo>
              <a:cubicBezTo>
                <a:pt x="220" y="753"/>
                <a:pt x="231" y="747"/>
                <a:pt x="236" y="736"/>
              </a:cubicBezTo>
              <a:cubicBezTo>
                <a:pt x="241" y="725"/>
                <a:pt x="244" y="714"/>
                <a:pt x="246" y="703"/>
              </a:cubicBezTo>
              <a:cubicBezTo>
                <a:pt x="252" y="704"/>
                <a:pt x="257" y="705"/>
                <a:pt x="263" y="707"/>
              </a:cubicBezTo>
              <a:cubicBezTo>
                <a:pt x="269" y="709"/>
                <a:pt x="275" y="710"/>
                <a:pt x="280" y="712"/>
              </a:cubicBezTo>
              <a:cubicBezTo>
                <a:pt x="291" y="716"/>
                <a:pt x="303" y="719"/>
                <a:pt x="314" y="721"/>
              </a:cubicBezTo>
              <a:cubicBezTo>
                <a:pt x="325" y="723"/>
                <a:pt x="335" y="727"/>
                <a:pt x="345" y="729"/>
              </a:cubicBezTo>
              <a:cubicBezTo>
                <a:pt x="357" y="731"/>
                <a:pt x="370" y="735"/>
                <a:pt x="382" y="735"/>
              </a:cubicBezTo>
              <a:cubicBezTo>
                <a:pt x="392" y="735"/>
                <a:pt x="399" y="727"/>
                <a:pt x="404" y="720"/>
              </a:cubicBezTo>
              <a:cubicBezTo>
                <a:pt x="410" y="711"/>
                <a:pt x="416" y="701"/>
                <a:pt x="422" y="692"/>
              </a:cubicBezTo>
              <a:cubicBezTo>
                <a:pt x="426" y="688"/>
                <a:pt x="418" y="677"/>
                <a:pt x="416" y="673"/>
              </a:cubicBezTo>
              <a:cubicBezTo>
                <a:pt x="410" y="662"/>
                <a:pt x="407" y="650"/>
                <a:pt x="400" y="640"/>
              </a:cubicBezTo>
              <a:cubicBezTo>
                <a:pt x="395" y="633"/>
                <a:pt x="389" y="626"/>
                <a:pt x="383" y="619"/>
              </a:cubicBezTo>
              <a:cubicBezTo>
                <a:pt x="375" y="609"/>
                <a:pt x="372" y="598"/>
                <a:pt x="364" y="588"/>
              </a:cubicBezTo>
              <a:cubicBezTo>
                <a:pt x="356" y="578"/>
                <a:pt x="347" y="569"/>
                <a:pt x="339" y="559"/>
              </a:cubicBezTo>
              <a:cubicBezTo>
                <a:pt x="332" y="551"/>
                <a:pt x="322" y="545"/>
                <a:pt x="314" y="537"/>
              </a:cubicBezTo>
              <a:cubicBezTo>
                <a:pt x="307" y="530"/>
                <a:pt x="301" y="521"/>
                <a:pt x="295" y="513"/>
              </a:cubicBezTo>
              <a:cubicBezTo>
                <a:pt x="298" y="507"/>
                <a:pt x="299" y="501"/>
                <a:pt x="300" y="498"/>
              </a:cubicBezTo>
              <a:cubicBezTo>
                <a:pt x="301" y="490"/>
                <a:pt x="302" y="481"/>
                <a:pt x="302" y="472"/>
              </a:cubicBezTo>
              <a:cubicBezTo>
                <a:pt x="304" y="472"/>
                <a:pt x="307" y="473"/>
                <a:pt x="309" y="471"/>
              </a:cubicBezTo>
              <a:cubicBezTo>
                <a:pt x="312" y="470"/>
                <a:pt x="310" y="465"/>
                <a:pt x="310" y="463"/>
              </a:cubicBezTo>
              <a:cubicBezTo>
                <a:pt x="311" y="452"/>
                <a:pt x="309" y="439"/>
                <a:pt x="312" y="429"/>
              </a:cubicBezTo>
              <a:cubicBezTo>
                <a:pt x="318" y="407"/>
                <a:pt x="324" y="387"/>
                <a:pt x="328" y="366"/>
              </a:cubicBezTo>
              <a:cubicBezTo>
                <a:pt x="329" y="360"/>
                <a:pt x="329" y="352"/>
                <a:pt x="328" y="345"/>
              </a:cubicBezTo>
              <a:cubicBezTo>
                <a:pt x="333" y="342"/>
                <a:pt x="338" y="339"/>
                <a:pt x="342" y="334"/>
              </a:cubicBezTo>
              <a:cubicBezTo>
                <a:pt x="342" y="334"/>
                <a:pt x="343" y="333"/>
                <a:pt x="343" y="333"/>
              </a:cubicBezTo>
              <a:cubicBezTo>
                <a:pt x="350" y="338"/>
                <a:pt x="357" y="343"/>
                <a:pt x="364" y="348"/>
              </a:cubicBezTo>
              <a:cubicBezTo>
                <a:pt x="374" y="355"/>
                <a:pt x="391" y="373"/>
                <a:pt x="402" y="359"/>
              </a:cubicBezTo>
              <a:cubicBezTo>
                <a:pt x="414" y="342"/>
                <a:pt x="423" y="315"/>
                <a:pt x="426" y="295"/>
              </a:cubicBezTo>
              <a:cubicBezTo>
                <a:pt x="427" y="281"/>
                <a:pt x="430" y="268"/>
                <a:pt x="431" y="255"/>
              </a:cubicBezTo>
              <a:cubicBezTo>
                <a:pt x="432" y="251"/>
                <a:pt x="433" y="246"/>
                <a:pt x="433" y="241"/>
              </a:cubicBezTo>
              <a:cubicBezTo>
                <a:pt x="435" y="241"/>
                <a:pt x="437" y="239"/>
                <a:pt x="439" y="237"/>
              </a:cubicBezTo>
              <a:cubicBezTo>
                <a:pt x="443" y="233"/>
                <a:pt x="444" y="225"/>
                <a:pt x="444" y="220"/>
              </a:cubicBezTo>
              <a:cubicBezTo>
                <a:pt x="445" y="213"/>
                <a:pt x="443" y="202"/>
                <a:pt x="447" y="197"/>
              </a:cubicBezTo>
              <a:cubicBezTo>
                <a:pt x="450" y="192"/>
                <a:pt x="452" y="187"/>
                <a:pt x="456" y="182"/>
              </a:cubicBezTo>
              <a:cubicBezTo>
                <a:pt x="457" y="181"/>
                <a:pt x="469" y="163"/>
                <a:pt x="458" y="167"/>
              </a:cubicBezTo>
              <a:cubicBezTo>
                <a:pt x="451" y="169"/>
                <a:pt x="445" y="177"/>
                <a:pt x="441" y="185"/>
              </a:cubicBezTo>
              <a:cubicBezTo>
                <a:pt x="441" y="184"/>
                <a:pt x="441" y="183"/>
                <a:pt x="441" y="182"/>
              </a:cubicBezTo>
              <a:cubicBezTo>
                <a:pt x="442" y="172"/>
                <a:pt x="444" y="163"/>
                <a:pt x="446" y="154"/>
              </a:cubicBezTo>
              <a:cubicBezTo>
                <a:pt x="447" y="145"/>
                <a:pt x="444" y="141"/>
                <a:pt x="437" y="147"/>
              </a:cubicBezTo>
              <a:cubicBezTo>
                <a:pt x="437" y="146"/>
                <a:pt x="437" y="146"/>
                <a:pt x="437" y="146"/>
              </a:cubicBezTo>
              <a:cubicBezTo>
                <a:pt x="437" y="144"/>
                <a:pt x="438" y="140"/>
                <a:pt x="436" y="139"/>
              </a:cubicBezTo>
              <a:cubicBezTo>
                <a:pt x="431" y="135"/>
                <a:pt x="428" y="141"/>
                <a:pt x="427" y="145"/>
              </a:cubicBezTo>
              <a:cubicBezTo>
                <a:pt x="426" y="143"/>
                <a:pt x="426" y="140"/>
                <a:pt x="423" y="141"/>
              </a:cubicBezTo>
              <a:cubicBezTo>
                <a:pt x="417" y="141"/>
                <a:pt x="415" y="146"/>
                <a:pt x="412" y="151"/>
              </a:cubicBezTo>
              <a:cubicBezTo>
                <a:pt x="410" y="156"/>
                <a:pt x="409" y="161"/>
                <a:pt x="407" y="166"/>
              </a:cubicBezTo>
              <a:cubicBezTo>
                <a:pt x="405" y="170"/>
                <a:pt x="403" y="174"/>
                <a:pt x="403" y="178"/>
              </a:cubicBezTo>
              <a:cubicBezTo>
                <a:pt x="402" y="184"/>
                <a:pt x="402" y="191"/>
                <a:pt x="400" y="197"/>
              </a:cubicBezTo>
              <a:cubicBezTo>
                <a:pt x="397" y="190"/>
                <a:pt x="392" y="183"/>
                <a:pt x="386" y="179"/>
              </a:cubicBezTo>
              <a:cubicBezTo>
                <a:pt x="383" y="178"/>
                <a:pt x="372" y="174"/>
                <a:pt x="374" y="182"/>
              </a:cubicBezTo>
              <a:cubicBezTo>
                <a:pt x="375" y="187"/>
                <a:pt x="380" y="192"/>
                <a:pt x="382" y="197"/>
              </a:cubicBezTo>
              <a:cubicBezTo>
                <a:pt x="386" y="204"/>
                <a:pt x="386" y="212"/>
                <a:pt x="389" y="219"/>
              </a:cubicBezTo>
              <a:cubicBezTo>
                <a:pt x="393" y="228"/>
                <a:pt x="399" y="233"/>
                <a:pt x="407" y="237"/>
              </a:cubicBezTo>
              <a:cubicBezTo>
                <a:pt x="405" y="248"/>
                <a:pt x="400" y="258"/>
                <a:pt x="396" y="267"/>
              </a:cubicBezTo>
              <a:cubicBezTo>
                <a:pt x="392" y="274"/>
                <a:pt x="387" y="281"/>
                <a:pt x="381" y="287"/>
              </a:cubicBezTo>
              <a:cubicBezTo>
                <a:pt x="380" y="285"/>
                <a:pt x="378" y="283"/>
                <a:pt x="376" y="281"/>
              </a:cubicBezTo>
              <a:cubicBezTo>
                <a:pt x="370" y="273"/>
                <a:pt x="368" y="263"/>
                <a:pt x="362" y="255"/>
              </a:cubicBezTo>
              <a:cubicBezTo>
                <a:pt x="359" y="250"/>
                <a:pt x="356" y="241"/>
                <a:pt x="351" y="238"/>
              </a:cubicBezTo>
              <a:cubicBezTo>
                <a:pt x="350" y="231"/>
                <a:pt x="348" y="224"/>
                <a:pt x="344" y="218"/>
              </a:cubicBezTo>
              <a:cubicBezTo>
                <a:pt x="338" y="208"/>
                <a:pt x="331" y="201"/>
                <a:pt x="323" y="192"/>
              </a:cubicBezTo>
              <a:cubicBezTo>
                <a:pt x="319" y="187"/>
                <a:pt x="314" y="184"/>
                <a:pt x="309" y="181"/>
              </a:cubicBezTo>
              <a:cubicBezTo>
                <a:pt x="309" y="176"/>
                <a:pt x="310" y="172"/>
                <a:pt x="312" y="167"/>
              </a:cubicBezTo>
              <a:cubicBezTo>
                <a:pt x="318" y="154"/>
                <a:pt x="330" y="157"/>
                <a:pt x="338" y="149"/>
              </a:cubicBezTo>
              <a:cubicBezTo>
                <a:pt x="342" y="145"/>
                <a:pt x="341" y="141"/>
                <a:pt x="338" y="136"/>
              </a:cubicBezTo>
              <a:cubicBezTo>
                <a:pt x="338" y="135"/>
                <a:pt x="339" y="123"/>
                <a:pt x="339" y="121"/>
              </a:cubicBezTo>
              <a:cubicBezTo>
                <a:pt x="339" y="119"/>
                <a:pt x="338" y="118"/>
                <a:pt x="338" y="117"/>
              </a:cubicBezTo>
              <a:cubicBezTo>
                <a:pt x="340" y="115"/>
                <a:pt x="342" y="113"/>
                <a:pt x="344" y="112"/>
              </a:cubicBezTo>
              <a:cubicBezTo>
                <a:pt x="348" y="110"/>
                <a:pt x="351" y="104"/>
                <a:pt x="352" y="100"/>
              </a:cubicBezTo>
              <a:cubicBezTo>
                <a:pt x="353" y="97"/>
                <a:pt x="344" y="91"/>
                <a:pt x="342" y="89"/>
              </a:cubicBezTo>
              <a:cubicBezTo>
                <a:pt x="339" y="86"/>
                <a:pt x="336" y="83"/>
                <a:pt x="334" y="80"/>
              </a:cubicBezTo>
              <a:cubicBezTo>
                <a:pt x="332" y="71"/>
                <a:pt x="329" y="63"/>
                <a:pt x="325" y="55"/>
              </a:cubicBezTo>
              <a:cubicBezTo>
                <a:pt x="323" y="53"/>
                <a:pt x="322" y="51"/>
                <a:pt x="321" y="48"/>
              </a:cubicBezTo>
              <a:cubicBezTo>
                <a:pt x="321" y="41"/>
                <a:pt x="319" y="34"/>
                <a:pt x="315" y="26"/>
              </a:cubicBezTo>
              <a:cubicBezTo>
                <a:pt x="307" y="10"/>
                <a:pt x="290" y="5"/>
                <a:pt x="274" y="0"/>
              </a:cubicBezTo>
              <a:cubicBezTo>
                <a:pt x="274" y="1"/>
                <a:pt x="274" y="1"/>
                <a:pt x="274" y="1"/>
              </a:cubicBezTo>
              <a:cubicBezTo>
                <a:pt x="286" y="6"/>
                <a:pt x="304" y="12"/>
                <a:pt x="311" y="25"/>
              </a:cubicBezTo>
              <a:cubicBezTo>
                <a:pt x="311" y="25"/>
                <a:pt x="311" y="26"/>
                <a:pt x="312" y="26"/>
              </a:cubicBezTo>
              <a:cubicBezTo>
                <a:pt x="311" y="25"/>
                <a:pt x="310" y="24"/>
                <a:pt x="309" y="23"/>
              </a:cubicBezTo>
              <a:cubicBezTo>
                <a:pt x="299" y="11"/>
                <a:pt x="286" y="10"/>
                <a:pt x="272" y="8"/>
              </a:cubicBezTo>
              <a:cubicBezTo>
                <a:pt x="272" y="8"/>
                <a:pt x="272" y="8"/>
                <a:pt x="272" y="8"/>
              </a:cubicBezTo>
              <a:cubicBezTo>
                <a:pt x="282" y="12"/>
                <a:pt x="296" y="13"/>
                <a:pt x="303" y="21"/>
              </a:cubicBezTo>
              <a:cubicBezTo>
                <a:pt x="304" y="22"/>
                <a:pt x="304" y="22"/>
                <a:pt x="304" y="22"/>
              </a:cubicBezTo>
              <a:cubicBezTo>
                <a:pt x="294" y="14"/>
                <a:pt x="279" y="10"/>
                <a:pt x="266" y="11"/>
              </a:cubicBezTo>
              <a:cubicBezTo>
                <a:pt x="266" y="11"/>
                <a:pt x="266" y="12"/>
                <a:pt x="266" y="12"/>
              </a:cubicBezTo>
              <a:cubicBezTo>
                <a:pt x="273" y="12"/>
                <a:pt x="279" y="13"/>
                <a:pt x="286" y="16"/>
              </a:cubicBezTo>
              <a:cubicBezTo>
                <a:pt x="285" y="15"/>
                <a:pt x="284" y="15"/>
                <a:pt x="283" y="15"/>
              </a:cubicBezTo>
              <a:cubicBezTo>
                <a:pt x="279" y="14"/>
                <a:pt x="276" y="14"/>
                <a:pt x="272" y="14"/>
              </a:cubicBezTo>
              <a:cubicBezTo>
                <a:pt x="272" y="14"/>
                <a:pt x="272" y="14"/>
                <a:pt x="272" y="14"/>
              </a:cubicBezTo>
              <a:cubicBezTo>
                <a:pt x="273" y="15"/>
                <a:pt x="274" y="15"/>
                <a:pt x="275" y="15"/>
              </a:cubicBezTo>
              <a:cubicBezTo>
                <a:pt x="272" y="16"/>
                <a:pt x="269" y="16"/>
                <a:pt x="266" y="17"/>
              </a:cubicBezTo>
              <a:cubicBezTo>
                <a:pt x="266" y="17"/>
                <a:pt x="266" y="17"/>
                <a:pt x="266" y="17"/>
              </a:cubicBezTo>
              <a:cubicBezTo>
                <a:pt x="271" y="17"/>
                <a:pt x="276" y="17"/>
                <a:pt x="280" y="17"/>
              </a:cubicBezTo>
              <a:cubicBezTo>
                <a:pt x="285" y="19"/>
                <a:pt x="289" y="21"/>
                <a:pt x="293" y="24"/>
              </a:cubicBezTo>
              <a:cubicBezTo>
                <a:pt x="285" y="20"/>
                <a:pt x="274" y="19"/>
                <a:pt x="265" y="19"/>
              </a:cubicBezTo>
              <a:cubicBezTo>
                <a:pt x="264" y="19"/>
                <a:pt x="264" y="20"/>
                <a:pt x="265" y="20"/>
              </a:cubicBezTo>
              <a:cubicBezTo>
                <a:pt x="272" y="21"/>
                <a:pt x="283" y="22"/>
                <a:pt x="290" y="25"/>
              </a:cubicBezTo>
              <a:cubicBezTo>
                <a:pt x="290" y="25"/>
                <a:pt x="289" y="25"/>
                <a:pt x="288" y="25"/>
              </a:cubicBezTo>
              <a:cubicBezTo>
                <a:pt x="281" y="22"/>
                <a:pt x="272" y="21"/>
                <a:pt x="264" y="20"/>
              </a:cubicBezTo>
              <a:cubicBezTo>
                <a:pt x="264" y="20"/>
                <a:pt x="263" y="20"/>
                <a:pt x="264" y="21"/>
              </a:cubicBezTo>
              <a:cubicBezTo>
                <a:pt x="270" y="22"/>
                <a:pt x="276" y="23"/>
                <a:pt x="282" y="25"/>
              </a:cubicBezTo>
              <a:cubicBezTo>
                <a:pt x="272" y="25"/>
                <a:pt x="262" y="21"/>
                <a:pt x="251" y="24"/>
              </a:cubicBezTo>
              <a:cubicBezTo>
                <a:pt x="228" y="28"/>
                <a:pt x="226" y="48"/>
                <a:pt x="217" y="67"/>
              </a:cubicBezTo>
              <a:cubicBezTo>
                <a:pt x="212" y="76"/>
                <a:pt x="215" y="83"/>
                <a:pt x="217" y="92"/>
              </a:cubicBezTo>
              <a:cubicBezTo>
                <a:pt x="220" y="103"/>
                <a:pt x="219" y="116"/>
                <a:pt x="225" y="125"/>
              </a:cubicBezTo>
              <a:cubicBezTo>
                <a:pt x="230" y="134"/>
                <a:pt x="240" y="138"/>
                <a:pt x="250" y="138"/>
              </a:cubicBezTo>
              <a:cubicBezTo>
                <a:pt x="250" y="138"/>
                <a:pt x="250" y="138"/>
                <a:pt x="250" y="138"/>
              </a:cubicBezTo>
              <a:cubicBezTo>
                <a:pt x="251" y="146"/>
                <a:pt x="252" y="154"/>
                <a:pt x="249" y="162"/>
              </a:cubicBezTo>
              <a:cubicBezTo>
                <a:pt x="247" y="168"/>
                <a:pt x="244" y="172"/>
                <a:pt x="240" y="176"/>
              </a:cubicBezTo>
              <a:cubicBezTo>
                <a:pt x="237" y="179"/>
                <a:pt x="233" y="181"/>
                <a:pt x="230" y="184"/>
              </a:cubicBezTo>
              <a:cubicBezTo>
                <a:pt x="229" y="185"/>
                <a:pt x="227" y="186"/>
                <a:pt x="226" y="188"/>
              </a:cubicBezTo>
              <a:cubicBezTo>
                <a:pt x="223" y="190"/>
                <a:pt x="220" y="193"/>
                <a:pt x="217" y="196"/>
              </a:cubicBezTo>
              <a:cubicBezTo>
                <a:pt x="217" y="197"/>
                <a:pt x="217" y="198"/>
                <a:pt x="217" y="198"/>
              </a:cubicBezTo>
              <a:cubicBezTo>
                <a:pt x="209" y="205"/>
                <a:pt x="202" y="214"/>
                <a:pt x="194" y="221"/>
              </a:cubicBezTo>
              <a:cubicBezTo>
                <a:pt x="184" y="229"/>
                <a:pt x="174" y="237"/>
                <a:pt x="164" y="245"/>
              </a:cubicBezTo>
              <a:cubicBezTo>
                <a:pt x="148" y="260"/>
                <a:pt x="132" y="279"/>
                <a:pt x="118" y="296"/>
              </a:cubicBezTo>
              <a:cubicBezTo>
                <a:pt x="112" y="303"/>
                <a:pt x="103" y="307"/>
                <a:pt x="98" y="314"/>
              </a:cubicBezTo>
              <a:cubicBezTo>
                <a:pt x="94" y="320"/>
                <a:pt x="94" y="327"/>
                <a:pt x="95" y="333"/>
              </a:cubicBezTo>
              <a:cubicBezTo>
                <a:pt x="98" y="354"/>
                <a:pt x="108" y="373"/>
                <a:pt x="114" y="394"/>
              </a:cubicBezTo>
              <a:cubicBezTo>
                <a:pt x="119" y="412"/>
                <a:pt x="126" y="430"/>
                <a:pt x="135" y="447"/>
              </a:cubicBezTo>
              <a:cubicBezTo>
                <a:pt x="139" y="455"/>
                <a:pt x="146" y="464"/>
                <a:pt x="140" y="473"/>
              </a:cubicBezTo>
              <a:cubicBezTo>
                <a:pt x="135" y="481"/>
                <a:pt x="135" y="488"/>
                <a:pt x="137" y="496"/>
              </a:cubicBezTo>
              <a:cubicBezTo>
                <a:pt x="138" y="500"/>
                <a:pt x="140" y="504"/>
                <a:pt x="143" y="507"/>
              </a:cubicBezTo>
              <a:cubicBezTo>
                <a:pt x="147" y="512"/>
                <a:pt x="147" y="518"/>
                <a:pt x="147" y="524"/>
              </a:cubicBezTo>
              <a:cubicBezTo>
                <a:pt x="147" y="530"/>
                <a:pt x="147" y="536"/>
                <a:pt x="147" y="542"/>
              </a:cubicBezTo>
              <a:cubicBezTo>
                <a:pt x="147" y="542"/>
                <a:pt x="147" y="542"/>
                <a:pt x="147" y="542"/>
              </a:cubicBezTo>
              <a:cubicBezTo>
                <a:pt x="146" y="548"/>
                <a:pt x="154" y="549"/>
                <a:pt x="155" y="543"/>
              </a:cubicBezTo>
              <a:cubicBezTo>
                <a:pt x="156" y="538"/>
                <a:pt x="155" y="533"/>
                <a:pt x="154" y="528"/>
              </a:cubicBezTo>
              <a:cubicBezTo>
                <a:pt x="154" y="524"/>
                <a:pt x="154" y="520"/>
                <a:pt x="155" y="516"/>
              </a:cubicBezTo>
              <a:cubicBezTo>
                <a:pt x="157" y="515"/>
                <a:pt x="161" y="523"/>
                <a:pt x="161" y="523"/>
              </a:cubicBezTo>
              <a:cubicBezTo>
                <a:pt x="165" y="531"/>
                <a:pt x="165" y="536"/>
                <a:pt x="171" y="543"/>
              </a:cubicBezTo>
              <a:cubicBezTo>
                <a:pt x="172" y="546"/>
                <a:pt x="174" y="548"/>
                <a:pt x="177" y="550"/>
              </a:cubicBezTo>
              <a:cubicBezTo>
                <a:pt x="177" y="553"/>
                <a:pt x="177" y="555"/>
                <a:pt x="177" y="558"/>
              </a:cubicBezTo>
              <a:cubicBezTo>
                <a:pt x="177" y="568"/>
                <a:pt x="178" y="577"/>
                <a:pt x="177" y="587"/>
              </a:cubicBezTo>
              <a:cubicBezTo>
                <a:pt x="176" y="595"/>
                <a:pt x="174" y="605"/>
                <a:pt x="171" y="613"/>
              </a:cubicBezTo>
              <a:cubicBezTo>
                <a:pt x="170" y="615"/>
                <a:pt x="169" y="617"/>
                <a:pt x="168" y="619"/>
              </a:cubicBezTo>
              <a:cubicBezTo>
                <a:pt x="164" y="617"/>
                <a:pt x="161" y="615"/>
                <a:pt x="157" y="612"/>
              </a:cubicBezTo>
              <a:cubicBezTo>
                <a:pt x="152" y="607"/>
                <a:pt x="148" y="604"/>
                <a:pt x="142" y="601"/>
              </a:cubicBezTo>
              <a:cubicBezTo>
                <a:pt x="132" y="595"/>
                <a:pt x="122" y="609"/>
                <a:pt x="118" y="617"/>
              </a:cubicBezTo>
              <a:cubicBezTo>
                <a:pt x="115" y="622"/>
                <a:pt x="114" y="630"/>
                <a:pt x="113" y="635"/>
              </a:cubicBezTo>
              <a:cubicBezTo>
                <a:pt x="112" y="643"/>
                <a:pt x="107" y="651"/>
                <a:pt x="102" y="657"/>
              </a:cubicBezTo>
              <a:cubicBezTo>
                <a:pt x="91" y="672"/>
                <a:pt x="85" y="688"/>
                <a:pt x="79" y="706"/>
              </a:cubicBezTo>
              <a:cubicBezTo>
                <a:pt x="75" y="716"/>
                <a:pt x="70" y="734"/>
                <a:pt x="76" y="744"/>
              </a:cubicBezTo>
              <a:cubicBezTo>
                <a:pt x="81" y="753"/>
                <a:pt x="90" y="753"/>
                <a:pt x="96" y="746"/>
              </a:cubicBezTo>
              <a:cubicBezTo>
                <a:pt x="102" y="739"/>
                <a:pt x="107" y="732"/>
                <a:pt x="112" y="726"/>
              </a:cubicBezTo>
              <a:cubicBezTo>
                <a:pt x="118" y="719"/>
                <a:pt x="122" y="708"/>
                <a:pt x="128" y="702"/>
              </a:cubicBezTo>
              <a:cubicBezTo>
                <a:pt x="137" y="695"/>
                <a:pt x="153" y="697"/>
                <a:pt x="163" y="701"/>
              </a:cubicBezTo>
              <a:cubicBezTo>
                <a:pt x="165" y="701"/>
                <a:pt x="168" y="702"/>
                <a:pt x="170" y="702"/>
              </a:cubicBezTo>
              <a:cubicBezTo>
                <a:pt x="168" y="708"/>
                <a:pt x="165" y="713"/>
                <a:pt x="161" y="717"/>
              </a:cubicBezTo>
              <a:cubicBezTo>
                <a:pt x="154" y="725"/>
                <a:pt x="144" y="730"/>
                <a:pt x="136" y="737"/>
              </a:cubicBezTo>
              <a:cubicBezTo>
                <a:pt x="128" y="744"/>
                <a:pt x="116" y="750"/>
                <a:pt x="112" y="760"/>
              </a:cubicBezTo>
              <a:cubicBezTo>
                <a:pt x="106" y="770"/>
                <a:pt x="103" y="781"/>
                <a:pt x="99" y="792"/>
              </a:cubicBezTo>
              <a:cubicBezTo>
                <a:pt x="94" y="805"/>
                <a:pt x="89" y="817"/>
                <a:pt x="80" y="828"/>
              </a:cubicBezTo>
              <a:cubicBezTo>
                <a:pt x="74" y="835"/>
                <a:pt x="68" y="842"/>
                <a:pt x="62" y="850"/>
              </a:cubicBezTo>
              <a:cubicBezTo>
                <a:pt x="55" y="860"/>
                <a:pt x="45" y="871"/>
                <a:pt x="40" y="883"/>
              </a:cubicBezTo>
              <a:cubicBezTo>
                <a:pt x="39" y="884"/>
                <a:pt x="38" y="885"/>
                <a:pt x="37" y="887"/>
              </a:cubicBezTo>
              <a:cubicBezTo>
                <a:pt x="37" y="886"/>
                <a:pt x="37" y="886"/>
                <a:pt x="36" y="886"/>
              </a:cubicBezTo>
              <a:cubicBezTo>
                <a:pt x="33" y="885"/>
                <a:pt x="29" y="888"/>
                <a:pt x="26" y="889"/>
              </a:cubicBezTo>
              <a:cubicBezTo>
                <a:pt x="17" y="892"/>
                <a:pt x="13" y="900"/>
                <a:pt x="8" y="907"/>
              </a:cubicBezTo>
              <a:cubicBezTo>
                <a:pt x="3" y="913"/>
                <a:pt x="0" y="920"/>
                <a:pt x="1" y="928"/>
              </a:cubicBezTo>
              <a:close/>
              <a:moveTo>
                <a:pt x="172" y="450"/>
              </a:moveTo>
              <a:cubicBezTo>
                <a:pt x="171" y="450"/>
                <a:pt x="171" y="449"/>
                <a:pt x="170" y="448"/>
              </a:cubicBezTo>
              <a:cubicBezTo>
                <a:pt x="167" y="439"/>
                <a:pt x="164" y="429"/>
                <a:pt x="161" y="419"/>
              </a:cubicBezTo>
              <a:cubicBezTo>
                <a:pt x="159" y="411"/>
                <a:pt x="152" y="402"/>
                <a:pt x="152" y="393"/>
              </a:cubicBezTo>
              <a:cubicBezTo>
                <a:pt x="152" y="382"/>
                <a:pt x="153" y="372"/>
                <a:pt x="153" y="361"/>
              </a:cubicBezTo>
              <a:cubicBezTo>
                <a:pt x="153" y="348"/>
                <a:pt x="151" y="333"/>
                <a:pt x="152" y="320"/>
              </a:cubicBezTo>
              <a:cubicBezTo>
                <a:pt x="152" y="320"/>
                <a:pt x="152" y="320"/>
                <a:pt x="152" y="320"/>
              </a:cubicBezTo>
              <a:cubicBezTo>
                <a:pt x="152" y="319"/>
                <a:pt x="152" y="319"/>
                <a:pt x="153" y="319"/>
              </a:cubicBezTo>
              <a:cubicBezTo>
                <a:pt x="155" y="317"/>
                <a:pt x="158" y="317"/>
                <a:pt x="160" y="316"/>
              </a:cubicBezTo>
              <a:cubicBezTo>
                <a:pt x="162" y="315"/>
                <a:pt x="164" y="314"/>
                <a:pt x="165" y="313"/>
              </a:cubicBezTo>
              <a:cubicBezTo>
                <a:pt x="166" y="313"/>
                <a:pt x="167" y="313"/>
                <a:pt x="168" y="312"/>
              </a:cubicBezTo>
              <a:cubicBezTo>
                <a:pt x="170" y="311"/>
                <a:pt x="172" y="310"/>
                <a:pt x="174" y="309"/>
              </a:cubicBezTo>
              <a:cubicBezTo>
                <a:pt x="179" y="306"/>
                <a:pt x="184" y="304"/>
                <a:pt x="190" y="301"/>
              </a:cubicBezTo>
              <a:cubicBezTo>
                <a:pt x="192" y="301"/>
                <a:pt x="193" y="299"/>
                <a:pt x="195" y="298"/>
              </a:cubicBezTo>
              <a:cubicBezTo>
                <a:pt x="195" y="298"/>
                <a:pt x="196" y="297"/>
                <a:pt x="196" y="297"/>
              </a:cubicBezTo>
              <a:cubicBezTo>
                <a:pt x="196" y="297"/>
                <a:pt x="196" y="297"/>
                <a:pt x="196" y="297"/>
              </a:cubicBezTo>
              <a:cubicBezTo>
                <a:pt x="197" y="297"/>
                <a:pt x="197" y="297"/>
                <a:pt x="197" y="297"/>
              </a:cubicBezTo>
              <a:cubicBezTo>
                <a:pt x="197" y="297"/>
                <a:pt x="197" y="297"/>
                <a:pt x="197" y="297"/>
              </a:cubicBezTo>
              <a:cubicBezTo>
                <a:pt x="197" y="297"/>
                <a:pt x="198" y="298"/>
                <a:pt x="198" y="299"/>
              </a:cubicBezTo>
              <a:cubicBezTo>
                <a:pt x="198" y="299"/>
                <a:pt x="198" y="299"/>
                <a:pt x="198" y="300"/>
              </a:cubicBezTo>
              <a:cubicBezTo>
                <a:pt x="204" y="312"/>
                <a:pt x="207" y="324"/>
                <a:pt x="209" y="337"/>
              </a:cubicBezTo>
              <a:cubicBezTo>
                <a:pt x="211" y="355"/>
                <a:pt x="215" y="373"/>
                <a:pt x="220" y="390"/>
              </a:cubicBezTo>
              <a:cubicBezTo>
                <a:pt x="221" y="394"/>
                <a:pt x="223" y="401"/>
                <a:pt x="222" y="405"/>
              </a:cubicBezTo>
              <a:cubicBezTo>
                <a:pt x="220" y="411"/>
                <a:pt x="211" y="418"/>
                <a:pt x="206" y="422"/>
              </a:cubicBezTo>
              <a:cubicBezTo>
                <a:pt x="200" y="427"/>
                <a:pt x="195" y="434"/>
                <a:pt x="188" y="439"/>
              </a:cubicBezTo>
              <a:cubicBezTo>
                <a:pt x="183" y="442"/>
                <a:pt x="178" y="449"/>
                <a:pt x="172" y="450"/>
              </a:cubicBezTo>
              <a:close/>
            </a:path>
          </a:pathLst>
        </a:custGeom>
        <a:solidFill xmlns:a="http://schemas.openxmlformats.org/drawingml/2006/main">
          <a:srgbClr val="0070C0"/>
        </a:solidFill>
        <a:ln xmlns:a="http://schemas.openxmlformats.org/drawingml/2006/main">
          <a:noFill/>
        </a:ln>
      </cdr:spPr>
      <cdr:txBody>
        <a:bodyPr xmlns:a="http://schemas.openxmlformats.org/drawingml/2006/main" vert="horz" wrap="square" lIns="91440" tIns="45720" rIns="91440" bIns="45720" numCol="1" anchor="t" anchorCtr="0" compatLnSpc="1">
          <a:prstTxWarp prst="textNoShape">
            <a:avLst/>
          </a:prstTxWarp>
        </a:bodyPr>
        <a:lstStyle xmlns:a="http://schemas.openxmlformats.org/drawingml/2006/main"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>
            <a:latin typeface="Lato Light" panose="020F0402020204030203" pitchFamily="34" charset="0"/>
            <a:cs typeface="Lato Light" panose="020F0402020204030203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84666</xdr:colOff>
      <xdr:row>0</xdr:row>
      <xdr:rowOff>127000</xdr:rowOff>
    </xdr:from>
    <xdr:to>
      <xdr:col>14</xdr:col>
      <xdr:colOff>243415</xdr:colOff>
      <xdr:row>23</xdr:row>
      <xdr:rowOff>140229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609600</xdr:colOff>
          <xdr:row>10</xdr:row>
          <xdr:rowOff>88106</xdr:rowOff>
        </xdr:from>
        <xdr:to>
          <xdr:col>10</xdr:col>
          <xdr:colOff>476250</xdr:colOff>
          <xdr:row>12</xdr:row>
          <xdr:rowOff>135731</xdr:rowOff>
        </xdr:to>
        <xdr:pic>
          <xdr:nvPicPr>
            <xdr:cNvPr id="4" name="Imagem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29" spid="_x0000_s226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157913" y="1993106"/>
              <a:ext cx="1247775" cy="4286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3</xdr:col>
      <xdr:colOff>392905</xdr:colOff>
      <xdr:row>96</xdr:row>
      <xdr:rowOff>154781</xdr:rowOff>
    </xdr:from>
    <xdr:to>
      <xdr:col>9</xdr:col>
      <xdr:colOff>142874</xdr:colOff>
      <xdr:row>112</xdr:row>
      <xdr:rowOff>126206</xdr:rowOff>
    </xdr:to>
    <xdr:grpSp>
      <xdr:nvGrpSpPr>
        <xdr:cNvPr id="6" name="Group 13">
          <a:extLst>
            <a:ext uri="{FF2B5EF4-FFF2-40B4-BE49-F238E27FC236}">
              <a16:creationId xmlns:a16="http://schemas.microsoft.com/office/drawing/2014/main" id="{BE909111-446C-473A-B97B-A17623E18A6F}"/>
            </a:ext>
          </a:extLst>
        </xdr:cNvPr>
        <xdr:cNvGrpSpPr>
          <a:grpSpLocks/>
        </xdr:cNvGrpSpPr>
      </xdr:nvGrpSpPr>
      <xdr:grpSpPr bwMode="auto">
        <a:xfrm>
          <a:off x="3174205" y="19385756"/>
          <a:ext cx="3788569" cy="3248025"/>
          <a:chOff x="318" y="64"/>
          <a:chExt cx="400" cy="384"/>
        </a:xfrm>
      </xdr:grpSpPr>
      <xdr:graphicFrame macro="">
        <xdr:nvGraphicFramePr>
          <xdr:cNvPr id="7" name="Gráfico 1">
            <a:extLst>
              <a:ext uri="{FF2B5EF4-FFF2-40B4-BE49-F238E27FC236}">
                <a16:creationId xmlns:a16="http://schemas.microsoft.com/office/drawing/2014/main" id="{E83B7281-19ED-4D6B-9250-1A1A26748449}"/>
              </a:ext>
            </a:extLst>
          </xdr:cNvPr>
          <xdr:cNvGraphicFramePr>
            <a:graphicFrameLocks/>
          </xdr:cNvGraphicFramePr>
        </xdr:nvGraphicFramePr>
        <xdr:xfrm>
          <a:off x="318" y="64"/>
          <a:ext cx="400" cy="38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8" name="Gráfico 2">
            <a:extLst>
              <a:ext uri="{FF2B5EF4-FFF2-40B4-BE49-F238E27FC236}">
                <a16:creationId xmlns:a16="http://schemas.microsoft.com/office/drawing/2014/main" id="{9D7CE3A4-B6A9-4A55-97B2-C92B6B0E46B4}"/>
              </a:ext>
            </a:extLst>
          </xdr:cNvPr>
          <xdr:cNvGraphicFramePr>
            <a:graphicFrameLocks/>
          </xdr:cNvGraphicFramePr>
        </xdr:nvGraphicFramePr>
        <xdr:xfrm>
          <a:off x="322" y="65"/>
          <a:ext cx="384" cy="2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39997558519241921"/>
  </sheetPr>
  <dimension ref="B2:L29"/>
  <sheetViews>
    <sheetView showGridLines="0" topLeftCell="A10" zoomScale="90" zoomScaleNormal="90" workbookViewId="0">
      <selection activeCell="B16" sqref="B16"/>
    </sheetView>
  </sheetViews>
  <sheetFormatPr defaultRowHeight="15.75" x14ac:dyDescent="0.25"/>
  <cols>
    <col min="1" max="1" width="3.25" customWidth="1"/>
    <col min="2" max="2" width="14.625" customWidth="1"/>
    <col min="3" max="3" width="16.375" bestFit="1" customWidth="1"/>
    <col min="4" max="4" width="43.625" bestFit="1" customWidth="1"/>
  </cols>
  <sheetData>
    <row r="2" spans="2:12" ht="18.75" x14ac:dyDescent="0.3">
      <c r="B2" s="28" t="s">
        <v>157</v>
      </c>
    </row>
    <row r="4" spans="2:12" x14ac:dyDescent="0.25">
      <c r="B4" s="317" t="s">
        <v>75</v>
      </c>
      <c r="C4" s="193" t="s">
        <v>77</v>
      </c>
      <c r="D4" s="193" t="s">
        <v>78</v>
      </c>
    </row>
    <row r="5" spans="2:12" x14ac:dyDescent="0.25">
      <c r="B5" s="318"/>
      <c r="C5" s="174" t="s">
        <v>76</v>
      </c>
      <c r="D5" s="174" t="s">
        <v>81</v>
      </c>
    </row>
    <row r="6" spans="2:12" x14ac:dyDescent="0.25">
      <c r="B6" s="319"/>
      <c r="C6" s="175" t="s">
        <v>158</v>
      </c>
      <c r="D6" s="175" t="s">
        <v>160</v>
      </c>
    </row>
    <row r="7" spans="2:12" x14ac:dyDescent="0.25">
      <c r="C7" s="173"/>
      <c r="D7" s="173"/>
    </row>
    <row r="8" spans="2:12" x14ac:dyDescent="0.25">
      <c r="B8" s="320" t="s">
        <v>9</v>
      </c>
      <c r="C8" s="193" t="s">
        <v>77</v>
      </c>
      <c r="D8" s="194" t="s">
        <v>78</v>
      </c>
    </row>
    <row r="9" spans="2:12" x14ac:dyDescent="0.25">
      <c r="B9" s="321"/>
      <c r="C9" s="174" t="s">
        <v>83</v>
      </c>
      <c r="D9" s="176" t="s">
        <v>82</v>
      </c>
    </row>
    <row r="10" spans="2:12" x14ac:dyDescent="0.25">
      <c r="B10" s="322"/>
      <c r="C10" s="175" t="s">
        <v>80</v>
      </c>
      <c r="D10" s="177" t="s">
        <v>159</v>
      </c>
    </row>
    <row r="12" spans="2:12" x14ac:dyDescent="0.25">
      <c r="B12" s="303" t="s">
        <v>178</v>
      </c>
      <c r="C12" s="304"/>
      <c r="D12" s="304"/>
      <c r="E12" s="304"/>
      <c r="F12" s="304"/>
      <c r="G12" s="304"/>
      <c r="H12" s="304"/>
      <c r="I12" s="304"/>
      <c r="J12" s="304"/>
      <c r="K12" s="304"/>
      <c r="L12" s="304"/>
    </row>
    <row r="14" spans="2:12" ht="18.75" x14ac:dyDescent="0.3">
      <c r="B14" s="28" t="s">
        <v>161</v>
      </c>
    </row>
    <row r="16" spans="2:12" x14ac:dyDescent="0.25">
      <c r="B16" t="s">
        <v>180</v>
      </c>
    </row>
    <row r="17" spans="2:5" x14ac:dyDescent="0.25">
      <c r="B17" t="s">
        <v>163</v>
      </c>
    </row>
    <row r="18" spans="2:5" x14ac:dyDescent="0.25">
      <c r="B18" t="s">
        <v>165</v>
      </c>
    </row>
    <row r="19" spans="2:5" x14ac:dyDescent="0.25">
      <c r="B19" t="s">
        <v>164</v>
      </c>
    </row>
    <row r="20" spans="2:5" x14ac:dyDescent="0.25">
      <c r="B20" t="s">
        <v>162</v>
      </c>
    </row>
    <row r="21" spans="2:5" x14ac:dyDescent="0.25">
      <c r="B21" t="s">
        <v>166</v>
      </c>
    </row>
    <row r="22" spans="2:5" x14ac:dyDescent="0.25">
      <c r="B22" t="s">
        <v>167</v>
      </c>
    </row>
    <row r="23" spans="2:5" x14ac:dyDescent="0.25">
      <c r="B23" s="178" t="s">
        <v>168</v>
      </c>
    </row>
    <row r="24" spans="2:5" x14ac:dyDescent="0.25">
      <c r="B24" s="178" t="s">
        <v>169</v>
      </c>
    </row>
    <row r="25" spans="2:5" x14ac:dyDescent="0.25">
      <c r="B25" s="179" t="s">
        <v>171</v>
      </c>
    </row>
    <row r="26" spans="2:5" x14ac:dyDescent="0.25">
      <c r="B26" s="178" t="s">
        <v>170</v>
      </c>
    </row>
    <row r="27" spans="2:5" x14ac:dyDescent="0.25">
      <c r="B27" s="179" t="s">
        <v>172</v>
      </c>
    </row>
    <row r="29" spans="2:5" x14ac:dyDescent="0.25">
      <c r="B29" s="303" t="s">
        <v>179</v>
      </c>
      <c r="C29" s="305"/>
      <c r="D29" s="305"/>
      <c r="E29" s="306"/>
    </row>
  </sheetData>
  <mergeCells count="2">
    <mergeCell ref="B4:B6"/>
    <mergeCell ref="B8:B10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ejamento">
    <tabColor rgb="FF7DFFB8"/>
    <pageSetUpPr fitToPage="1"/>
  </sheetPr>
  <dimension ref="A1:AL116"/>
  <sheetViews>
    <sheetView showGridLines="0" tabSelected="1" zoomScale="50" zoomScaleNormal="50" zoomScalePageLayoutView="70" workbookViewId="0">
      <pane xSplit="4" topLeftCell="E1" activePane="topRight" state="frozen"/>
      <selection pane="topRight"/>
    </sheetView>
  </sheetViews>
  <sheetFormatPr defaultColWidth="0" defaultRowHeight="15.75" zeroHeight="1" x14ac:dyDescent="0.25"/>
  <cols>
    <col min="1" max="1" width="2.125" style="10" customWidth="1"/>
    <col min="2" max="2" width="18.125" style="2" customWidth="1"/>
    <col min="3" max="3" width="30.875" style="5" customWidth="1"/>
    <col min="4" max="4" width="16.5" style="5" bestFit="1" customWidth="1"/>
    <col min="5" max="5" width="18.625" style="5" customWidth="1"/>
    <col min="6" max="6" width="13.875" style="5" customWidth="1"/>
    <col min="7" max="7" width="17.625" style="5" hidden="1" customWidth="1"/>
    <col min="8" max="8" width="10.875" style="5" customWidth="1"/>
    <col min="9" max="9" width="15.875" style="5" customWidth="1"/>
    <col min="10" max="10" width="13.625" style="6" customWidth="1"/>
    <col min="11" max="11" width="13" style="6" customWidth="1"/>
    <col min="12" max="12" width="17.5" style="1" bestFit="1" customWidth="1"/>
    <col min="13" max="13" width="17.375" style="1" customWidth="1"/>
    <col min="14" max="14" width="12" style="1" bestFit="1" customWidth="1"/>
    <col min="15" max="15" width="13.875" style="1" customWidth="1"/>
    <col min="16" max="17" width="10.875" style="2" customWidth="1"/>
    <col min="18" max="18" width="12" style="2" customWidth="1"/>
    <col min="19" max="19" width="10.875" style="2" customWidth="1"/>
    <col min="20" max="20" width="12.375" style="1" bestFit="1" customWidth="1"/>
    <col min="21" max="21" width="10.875" style="2" customWidth="1"/>
    <col min="22" max="23" width="11.875" style="1" customWidth="1"/>
    <col min="24" max="24" width="10.875" style="1" customWidth="1"/>
    <col min="25" max="25" width="12.875" style="1" customWidth="1"/>
    <col min="26" max="26" width="3.375" style="15" hidden="1" customWidth="1"/>
    <col min="27" max="27" width="7.125" style="1" bestFit="1" customWidth="1"/>
    <col min="28" max="28" width="13" style="1" hidden="1" customWidth="1"/>
    <col min="29" max="29" width="31.875" style="1" customWidth="1"/>
    <col min="30" max="31" width="19.875" style="1" bestFit="1" customWidth="1"/>
    <col min="32" max="32" width="10.875" style="1" customWidth="1"/>
    <col min="33" max="33" width="32.125" style="1" customWidth="1"/>
    <col min="34" max="35" width="19.875" style="1" bestFit="1" customWidth="1"/>
    <col min="36" max="36" width="3.875" style="1" customWidth="1"/>
    <col min="37" max="38" width="0" style="1" hidden="1" customWidth="1"/>
    <col min="39" max="16384" width="10.875" style="1" hidden="1"/>
  </cols>
  <sheetData>
    <row r="1" spans="1:38" ht="69" customHeight="1" thickBot="1" x14ac:dyDescent="0.3">
      <c r="B1" s="191"/>
      <c r="C1" s="192"/>
      <c r="D1" s="192"/>
      <c r="E1" s="192"/>
      <c r="F1" s="26"/>
      <c r="G1" s="26"/>
      <c r="H1" s="26"/>
      <c r="I1" s="26"/>
      <c r="J1" s="29"/>
      <c r="K1" s="29"/>
      <c r="L1" s="27"/>
      <c r="M1" s="27"/>
      <c r="N1" s="27"/>
      <c r="O1" s="27"/>
      <c r="P1" s="25"/>
      <c r="Q1" s="25"/>
      <c r="R1" s="25"/>
      <c r="S1" s="25"/>
      <c r="T1" s="27"/>
      <c r="U1" s="25"/>
      <c r="V1" s="12"/>
      <c r="W1" s="12"/>
      <c r="X1" s="12"/>
      <c r="Y1" s="12"/>
    </row>
    <row r="2" spans="1:38" s="19" customFormat="1" ht="39" customHeight="1" thickBot="1" x14ac:dyDescent="0.3">
      <c r="A2" s="3"/>
      <c r="B2" s="125" t="s">
        <v>85</v>
      </c>
      <c r="C2" s="126"/>
      <c r="D2" s="126"/>
      <c r="E2" s="126"/>
      <c r="F2" s="126"/>
      <c r="G2" s="126"/>
      <c r="H2" s="126"/>
      <c r="I2" s="126"/>
      <c r="J2" s="126"/>
      <c r="K2" s="112"/>
      <c r="L2" s="113"/>
      <c r="M2" s="113"/>
      <c r="N2" s="113"/>
      <c r="O2" s="113"/>
      <c r="P2" s="114"/>
      <c r="Q2" s="114"/>
      <c r="R2" s="114"/>
      <c r="S2" s="114"/>
      <c r="T2" s="114"/>
      <c r="U2" s="114"/>
      <c r="V2" s="114"/>
      <c r="W2" s="114"/>
      <c r="X2" s="114"/>
      <c r="Y2" s="115"/>
      <c r="Z2" s="18"/>
      <c r="AC2" s="164" t="s">
        <v>145</v>
      </c>
      <c r="AD2" s="165"/>
      <c r="AE2" s="165"/>
      <c r="AF2" s="165"/>
      <c r="AG2" s="165"/>
      <c r="AH2" s="165"/>
      <c r="AI2" s="166"/>
      <c r="AJ2" s="153"/>
      <c r="AK2" s="153"/>
      <c r="AL2" s="154"/>
    </row>
    <row r="3" spans="1:38" ht="21" x14ac:dyDescent="0.35">
      <c r="A3" s="25"/>
      <c r="B3" s="199" t="s">
        <v>79</v>
      </c>
      <c r="C3" s="203"/>
      <c r="D3" s="204">
        <f>P35</f>
        <v>100</v>
      </c>
      <c r="V3" s="12"/>
      <c r="W3" s="12"/>
      <c r="X3" s="12"/>
      <c r="Y3" s="12"/>
      <c r="AC3" s="156"/>
      <c r="AD3" s="12"/>
      <c r="AE3" s="12"/>
      <c r="AF3" s="12"/>
      <c r="AG3" s="12"/>
      <c r="AH3" s="12"/>
      <c r="AI3" s="104"/>
    </row>
    <row r="4" spans="1:38" ht="21.75" thickBot="1" x14ac:dyDescent="0.4">
      <c r="A4" s="25"/>
      <c r="B4" s="205" t="s">
        <v>7</v>
      </c>
      <c r="C4" s="206"/>
      <c r="D4" s="207">
        <v>10</v>
      </c>
      <c r="AC4" s="197" t="s">
        <v>125</v>
      </c>
      <c r="AD4" s="127"/>
      <c r="AE4" s="127"/>
      <c r="AF4" s="12"/>
      <c r="AG4" s="198" t="s">
        <v>126</v>
      </c>
      <c r="AH4" s="127"/>
      <c r="AI4" s="167"/>
    </row>
    <row r="5" spans="1:38" ht="21.75" thickTop="1" x14ac:dyDescent="0.35">
      <c r="A5" s="25"/>
      <c r="B5" s="208" t="s">
        <v>64</v>
      </c>
      <c r="C5" s="209"/>
      <c r="D5" s="210">
        <v>5</v>
      </c>
      <c r="E5" s="20"/>
      <c r="F5" s="20"/>
      <c r="G5" s="20"/>
      <c r="H5" s="20"/>
      <c r="I5" s="20"/>
      <c r="J5" s="21"/>
      <c r="K5" s="21"/>
      <c r="L5" s="12"/>
      <c r="M5" s="12"/>
      <c r="N5" s="12"/>
      <c r="O5" s="12"/>
      <c r="P5" s="13"/>
      <c r="Q5" s="13"/>
      <c r="R5" s="13"/>
      <c r="S5" s="13"/>
      <c r="T5" s="12"/>
      <c r="U5" s="24"/>
      <c r="AC5" s="156"/>
      <c r="AD5" s="12"/>
      <c r="AE5" s="12"/>
      <c r="AF5" s="12"/>
      <c r="AG5" s="12"/>
      <c r="AH5" s="12"/>
      <c r="AI5" s="104"/>
    </row>
    <row r="6" spans="1:38" ht="21" x14ac:dyDescent="0.35">
      <c r="A6" s="25"/>
      <c r="B6" s="200" t="s">
        <v>9</v>
      </c>
      <c r="C6" s="211"/>
      <c r="D6" s="212"/>
      <c r="E6" s="20"/>
      <c r="F6" s="20"/>
      <c r="G6" s="20"/>
      <c r="H6" s="20"/>
      <c r="I6" s="20"/>
      <c r="J6" s="21"/>
      <c r="K6" s="21"/>
      <c r="L6" s="22"/>
      <c r="M6" s="4"/>
      <c r="N6" s="12"/>
      <c r="O6" s="12"/>
      <c r="P6" s="4"/>
      <c r="Q6" s="13"/>
      <c r="R6" s="13"/>
      <c r="S6" s="13"/>
      <c r="T6" s="12"/>
      <c r="U6" s="24"/>
      <c r="AC6" s="156"/>
      <c r="AD6" s="12"/>
      <c r="AE6" s="12"/>
      <c r="AF6" s="12"/>
      <c r="AG6" s="12"/>
      <c r="AH6" s="12"/>
      <c r="AI6" s="104"/>
    </row>
    <row r="7" spans="1:38" ht="21" x14ac:dyDescent="0.35">
      <c r="A7" s="25"/>
      <c r="B7" s="213" t="s">
        <v>7</v>
      </c>
      <c r="C7" s="214"/>
      <c r="D7" s="207">
        <v>15</v>
      </c>
      <c r="E7" s="20"/>
      <c r="F7" s="20"/>
      <c r="G7" s="20"/>
      <c r="H7" s="20"/>
      <c r="I7" s="20"/>
      <c r="J7" s="21"/>
      <c r="K7" s="21"/>
      <c r="L7" s="12"/>
      <c r="M7" s="13"/>
      <c r="N7" s="12"/>
      <c r="O7" s="12"/>
      <c r="P7" s="13"/>
      <c r="Q7" s="13"/>
      <c r="R7" s="13"/>
      <c r="S7" s="13"/>
      <c r="T7" s="12"/>
      <c r="U7" s="24"/>
      <c r="AC7" s="230" t="s">
        <v>119</v>
      </c>
      <c r="AD7" s="231" t="s">
        <v>75</v>
      </c>
      <c r="AE7" s="231" t="s">
        <v>9</v>
      </c>
      <c r="AF7" s="232"/>
      <c r="AG7" s="233" t="s">
        <v>119</v>
      </c>
      <c r="AH7" s="231" t="s">
        <v>75</v>
      </c>
      <c r="AI7" s="234" t="s">
        <v>9</v>
      </c>
    </row>
    <row r="8" spans="1:38" ht="21" x14ac:dyDescent="0.35">
      <c r="A8" s="25"/>
      <c r="B8" s="208" t="s">
        <v>64</v>
      </c>
      <c r="C8" s="215"/>
      <c r="D8" s="210">
        <v>1</v>
      </c>
      <c r="E8" s="20"/>
      <c r="F8" s="20"/>
      <c r="G8" s="20"/>
      <c r="H8" s="20"/>
      <c r="I8" s="20"/>
      <c r="J8" s="21"/>
      <c r="K8" s="21"/>
      <c r="L8" s="12"/>
      <c r="M8" s="13"/>
      <c r="N8" s="12"/>
      <c r="O8" s="12"/>
      <c r="P8" s="13"/>
      <c r="Q8" s="13"/>
      <c r="R8" s="13"/>
      <c r="S8" s="13"/>
      <c r="T8" s="12"/>
      <c r="U8" s="24"/>
      <c r="AC8" s="235" t="s">
        <v>146</v>
      </c>
      <c r="AD8" s="236">
        <f>D10</f>
        <v>1438</v>
      </c>
      <c r="AE8" s="236">
        <f>D10</f>
        <v>1438</v>
      </c>
      <c r="AF8" s="232"/>
      <c r="AG8" s="237" t="s">
        <v>146</v>
      </c>
      <c r="AH8" s="236">
        <f>AD8</f>
        <v>1438</v>
      </c>
      <c r="AI8" s="238">
        <f t="shared" ref="AI8:AI9" si="0">AE8</f>
        <v>1438</v>
      </c>
    </row>
    <row r="9" spans="1:38" ht="21" x14ac:dyDescent="0.35">
      <c r="A9" s="25"/>
      <c r="B9" s="201" t="s">
        <v>23</v>
      </c>
      <c r="C9" s="211"/>
      <c r="D9" s="212"/>
      <c r="E9" s="20"/>
      <c r="F9" s="20"/>
      <c r="G9" s="20"/>
      <c r="H9" s="20"/>
      <c r="I9" s="20"/>
      <c r="J9" s="21"/>
      <c r="K9" s="21"/>
      <c r="L9" s="12"/>
      <c r="M9" s="12"/>
      <c r="N9" s="12"/>
      <c r="O9" s="12"/>
      <c r="P9" s="13"/>
      <c r="Q9" s="13"/>
      <c r="R9" s="13"/>
      <c r="S9" s="13"/>
      <c r="T9" s="12"/>
      <c r="U9" s="24"/>
      <c r="AC9" s="235" t="s">
        <v>176</v>
      </c>
      <c r="AD9" s="236">
        <f>D11</f>
        <v>941.46344164268294</v>
      </c>
      <c r="AE9" s="236">
        <f>D11</f>
        <v>941.46344164268294</v>
      </c>
      <c r="AF9" s="239"/>
      <c r="AG9" s="237" t="s">
        <v>176</v>
      </c>
      <c r="AH9" s="236">
        <f t="shared" ref="AH9" si="1">AD9</f>
        <v>941.46344164268294</v>
      </c>
      <c r="AI9" s="238">
        <f t="shared" si="0"/>
        <v>941.46344164268294</v>
      </c>
    </row>
    <row r="10" spans="1:38" ht="21" x14ac:dyDescent="0.35">
      <c r="A10" s="25"/>
      <c r="B10" s="216" t="s">
        <v>24</v>
      </c>
      <c r="C10" s="217"/>
      <c r="D10" s="218">
        <f>ROUNDUP(AVERAGE(G42:G95),0)</f>
        <v>1438</v>
      </c>
      <c r="E10" s="20"/>
      <c r="F10" s="20"/>
      <c r="G10" s="20"/>
      <c r="H10" s="20"/>
      <c r="I10" s="20"/>
      <c r="J10" s="21"/>
      <c r="K10" s="21"/>
      <c r="L10" s="12"/>
      <c r="M10" s="12"/>
      <c r="N10" s="12"/>
      <c r="O10" s="12"/>
      <c r="P10" s="13"/>
      <c r="Q10" s="13"/>
      <c r="R10" s="13"/>
      <c r="S10" s="13"/>
      <c r="T10" s="12"/>
      <c r="U10" s="24"/>
      <c r="AC10" s="235" t="s">
        <v>124</v>
      </c>
      <c r="AD10" s="240">
        <f>D5</f>
        <v>5</v>
      </c>
      <c r="AE10" s="240">
        <f>D8</f>
        <v>1</v>
      </c>
      <c r="AF10" s="232"/>
      <c r="AG10" s="237" t="s">
        <v>124</v>
      </c>
      <c r="AH10" s="240">
        <f>AD10</f>
        <v>5</v>
      </c>
      <c r="AI10" s="241">
        <f>AE10</f>
        <v>1</v>
      </c>
    </row>
    <row r="11" spans="1:38" ht="21" x14ac:dyDescent="0.35">
      <c r="A11" s="25"/>
      <c r="B11" s="208" t="s">
        <v>25</v>
      </c>
      <c r="C11" s="215"/>
      <c r="D11" s="219">
        <f>STDEV(G42:G95)</f>
        <v>941.46344164268294</v>
      </c>
      <c r="E11" s="20"/>
      <c r="F11" s="20"/>
      <c r="G11" s="20"/>
      <c r="H11" s="20"/>
      <c r="I11" s="20"/>
      <c r="J11" s="21"/>
      <c r="K11" s="21"/>
      <c r="L11" s="12"/>
      <c r="M11" s="12"/>
      <c r="N11" s="12"/>
      <c r="O11" s="12"/>
      <c r="P11" s="13"/>
      <c r="Q11" s="13"/>
      <c r="R11" s="13"/>
      <c r="S11" s="13"/>
      <c r="T11" s="12"/>
      <c r="U11" s="24"/>
      <c r="AC11" s="235" t="s">
        <v>147</v>
      </c>
      <c r="AD11" s="240">
        <v>0</v>
      </c>
      <c r="AE11" s="240">
        <v>0</v>
      </c>
      <c r="AF11" s="232"/>
      <c r="AG11" s="237" t="s">
        <v>147</v>
      </c>
      <c r="AH11" s="240">
        <v>0</v>
      </c>
      <c r="AI11" s="241">
        <v>0</v>
      </c>
    </row>
    <row r="12" spans="1:38" ht="21" x14ac:dyDescent="0.35">
      <c r="A12" s="25"/>
      <c r="B12" s="213" t="s">
        <v>65</v>
      </c>
      <c r="C12" s="220"/>
      <c r="D12" s="221">
        <f>IFERROR(D11/D10,0)</f>
        <v>0.65470336692815223</v>
      </c>
      <c r="E12" s="20"/>
      <c r="F12" s="20"/>
      <c r="G12" s="20"/>
      <c r="H12" s="20"/>
      <c r="I12" s="20"/>
      <c r="J12" s="21"/>
      <c r="K12" s="21"/>
      <c r="L12" s="12"/>
      <c r="M12" s="12"/>
      <c r="N12" s="12"/>
      <c r="O12" s="12"/>
      <c r="P12" s="13"/>
      <c r="Q12" s="13"/>
      <c r="R12" s="13"/>
      <c r="S12" s="13"/>
      <c r="T12" s="12"/>
      <c r="U12" s="24"/>
      <c r="AC12" s="235" t="s">
        <v>120</v>
      </c>
      <c r="AD12" s="242">
        <v>0.9</v>
      </c>
      <c r="AE12" s="242">
        <v>0.9</v>
      </c>
      <c r="AF12" s="232"/>
      <c r="AG12" s="237" t="s">
        <v>120</v>
      </c>
      <c r="AH12" s="242">
        <v>0.9</v>
      </c>
      <c r="AI12" s="243">
        <v>0.9</v>
      </c>
    </row>
    <row r="13" spans="1:38" ht="21" x14ac:dyDescent="0.35">
      <c r="A13" s="25"/>
      <c r="B13" s="222" t="s">
        <v>173</v>
      </c>
      <c r="C13" s="220"/>
      <c r="D13" s="218">
        <f>D17/D10</f>
        <v>4.7983310152990268E-2</v>
      </c>
      <c r="E13" s="20"/>
      <c r="F13" s="20"/>
      <c r="G13" s="20"/>
      <c r="H13" s="20"/>
      <c r="I13" s="20"/>
      <c r="J13" s="21"/>
      <c r="K13" s="21"/>
      <c r="L13" s="12"/>
      <c r="M13" s="12"/>
      <c r="N13" s="12"/>
      <c r="O13" s="12"/>
      <c r="P13" s="13"/>
      <c r="Q13" s="13"/>
      <c r="R13" s="13"/>
      <c r="S13" s="13"/>
      <c r="T13" s="12"/>
      <c r="U13" s="24"/>
      <c r="AC13" s="235" t="s">
        <v>123</v>
      </c>
      <c r="AD13" s="244">
        <f>IFERROR(NORMSINV(AD12),0)</f>
        <v>1.2815515655446006</v>
      </c>
      <c r="AE13" s="244">
        <f>IFERROR(NORMSINV(AE12),0)</f>
        <v>1.2815515655446006</v>
      </c>
      <c r="AF13" s="232"/>
      <c r="AG13" s="237" t="s">
        <v>123</v>
      </c>
      <c r="AH13" s="244">
        <f>IFERROR(NORMSINV(AH12),0)</f>
        <v>1.2815515655446006</v>
      </c>
      <c r="AI13" s="245">
        <f>IFERROR(NORMSINV(AI12),0)</f>
        <v>1.2815515655446006</v>
      </c>
    </row>
    <row r="14" spans="1:38" ht="21" x14ac:dyDescent="0.35">
      <c r="A14" s="25"/>
      <c r="B14" s="222" t="s">
        <v>174</v>
      </c>
      <c r="C14" s="220"/>
      <c r="D14" s="218">
        <f>SUMIF($C$36:$C$95,NA(),$D$36:$D$95)/$D$10</f>
        <v>0</v>
      </c>
      <c r="E14" s="20"/>
      <c r="F14" s="20"/>
      <c r="G14" s="20"/>
      <c r="H14" s="20"/>
      <c r="I14" s="20"/>
      <c r="J14" s="21"/>
      <c r="K14" s="21"/>
      <c r="L14" s="12"/>
      <c r="M14" s="12"/>
      <c r="N14" s="12"/>
      <c r="O14" s="12"/>
      <c r="P14" s="13"/>
      <c r="Q14" s="13"/>
      <c r="R14" s="13"/>
      <c r="S14" s="13"/>
      <c r="T14" s="12"/>
      <c r="U14" s="24"/>
      <c r="AC14" s="246" t="s">
        <v>122</v>
      </c>
      <c r="AD14" s="247">
        <f>ROUNDUP(AD13*SQRT(AD10)*AD9,0)</f>
        <v>2698</v>
      </c>
      <c r="AE14" s="247">
        <f>ROUNDUP(AE13*SQRT(AE10)*AE9,0)</f>
        <v>1207</v>
      </c>
      <c r="AF14" s="232"/>
      <c r="AG14" s="248" t="s">
        <v>122</v>
      </c>
      <c r="AH14" s="247">
        <f>ROUNDUP(AH13*SQRT(AH9^2)*AH10+(AH8^2)*(AH11^2),0)</f>
        <v>6033</v>
      </c>
      <c r="AI14" s="249">
        <f>ROUNDUP(AI13*SQRT(AI9^2)*AI10+(AI8^2)*(AI11^2),0)</f>
        <v>1207</v>
      </c>
    </row>
    <row r="15" spans="1:38" ht="21" x14ac:dyDescent="0.35">
      <c r="A15" s="25"/>
      <c r="B15" s="202" t="s">
        <v>10</v>
      </c>
      <c r="C15" s="211"/>
      <c r="D15" s="223"/>
      <c r="E15" s="20"/>
      <c r="F15" s="20"/>
      <c r="G15" s="20"/>
      <c r="H15" s="20"/>
      <c r="I15" s="20"/>
      <c r="J15" s="21"/>
      <c r="K15" s="21"/>
      <c r="L15" s="12"/>
      <c r="M15" s="12"/>
      <c r="N15" s="12"/>
      <c r="O15" s="12"/>
      <c r="P15" s="13"/>
      <c r="Q15" s="13"/>
      <c r="R15" s="13"/>
      <c r="S15" s="13"/>
      <c r="T15" s="12"/>
      <c r="U15" s="24"/>
      <c r="AC15" s="250" t="s">
        <v>121</v>
      </c>
      <c r="AD15" s="251">
        <f>AD14+(AD8*AD10)</f>
        <v>9888</v>
      </c>
      <c r="AE15" s="251">
        <f>AE14+(AE8*AE10)</f>
        <v>2645</v>
      </c>
      <c r="AF15" s="232"/>
      <c r="AG15" s="252" t="s">
        <v>121</v>
      </c>
      <c r="AH15" s="251">
        <f>AH14+(AH8*AH10)</f>
        <v>13223</v>
      </c>
      <c r="AI15" s="253">
        <f>AI14+(AI8*AI10)</f>
        <v>2645</v>
      </c>
    </row>
    <row r="16" spans="1:38" ht="21" x14ac:dyDescent="0.35">
      <c r="A16" s="25"/>
      <c r="B16" s="216" t="s">
        <v>63</v>
      </c>
      <c r="C16" s="217"/>
      <c r="D16" s="224">
        <f>D4+(D7-D4)/2</f>
        <v>12.5</v>
      </c>
      <c r="E16" s="20"/>
      <c r="F16" s="20"/>
      <c r="G16" s="20"/>
      <c r="H16" s="20"/>
      <c r="I16" s="20"/>
      <c r="J16" s="21"/>
      <c r="K16" s="21"/>
      <c r="L16" s="12"/>
      <c r="M16" s="12"/>
      <c r="N16" s="12"/>
      <c r="O16" s="12"/>
      <c r="P16" s="13"/>
      <c r="Q16" s="13"/>
      <c r="R16" s="13"/>
      <c r="S16" s="13"/>
      <c r="T16" s="12"/>
      <c r="U16" s="24"/>
      <c r="AC16" s="168"/>
      <c r="AD16" s="12"/>
      <c r="AE16" s="12"/>
      <c r="AF16" s="12"/>
      <c r="AG16" s="12"/>
      <c r="AH16" s="12"/>
      <c r="AI16" s="104"/>
    </row>
    <row r="17" spans="1:35" ht="21" x14ac:dyDescent="0.35">
      <c r="A17" s="25"/>
      <c r="B17" s="222" t="s">
        <v>11</v>
      </c>
      <c r="C17" s="214"/>
      <c r="D17" s="218">
        <f>IFERROR(IF(B29=61,VLOOKUP(60,B34:J95,2,0),VLOOKUP(B29,B34:J95,2,0)),0)</f>
        <v>69</v>
      </c>
      <c r="E17" s="20"/>
      <c r="F17" s="20"/>
      <c r="G17" s="20"/>
      <c r="H17" s="20"/>
      <c r="I17" s="20"/>
      <c r="J17" s="21"/>
      <c r="K17" s="21"/>
      <c r="L17" s="12"/>
      <c r="M17" s="12"/>
      <c r="N17" s="12"/>
      <c r="O17" s="12"/>
      <c r="P17" s="13"/>
      <c r="Q17" s="13"/>
      <c r="R17" s="13"/>
      <c r="S17" s="13"/>
      <c r="T17" s="12"/>
      <c r="U17" s="24"/>
      <c r="AC17" s="168"/>
      <c r="AD17" s="12"/>
      <c r="AE17" s="157"/>
      <c r="AF17" s="12"/>
      <c r="AG17" s="12"/>
      <c r="AH17" s="12"/>
      <c r="AI17" s="104"/>
    </row>
    <row r="18" spans="1:35" ht="21" x14ac:dyDescent="0.35">
      <c r="A18" s="25"/>
      <c r="B18" s="222" t="s">
        <v>52</v>
      </c>
      <c r="C18" s="214"/>
      <c r="D18" s="224">
        <f>IFERROR(IF(B29=61,VLOOKUP(60,B34:J95,9,0)/60,VLOOKUP(B29,B34:J95,9,0)/B29),0)</f>
        <v>14.76536043113418</v>
      </c>
      <c r="E18" s="20"/>
      <c r="F18" s="23"/>
      <c r="G18" s="23"/>
      <c r="H18" s="20"/>
      <c r="I18" s="20"/>
      <c r="J18" s="21"/>
      <c r="K18" s="21"/>
      <c r="L18" s="12"/>
      <c r="M18" s="12"/>
      <c r="N18" s="12"/>
      <c r="O18" s="12"/>
      <c r="P18" s="13"/>
      <c r="Q18" s="13"/>
      <c r="R18" s="13"/>
      <c r="S18" s="13"/>
      <c r="T18" s="12"/>
      <c r="U18" s="24"/>
      <c r="AC18" s="156"/>
      <c r="AD18" s="12"/>
      <c r="AE18" s="12"/>
      <c r="AF18" s="12"/>
      <c r="AG18" s="12"/>
      <c r="AH18" s="12"/>
      <c r="AI18" s="104"/>
    </row>
    <row r="19" spans="1:35" ht="21" x14ac:dyDescent="0.35">
      <c r="A19" s="25"/>
      <c r="B19" s="222" t="s">
        <v>59</v>
      </c>
      <c r="C19" s="214"/>
      <c r="D19" s="224">
        <f>SUM(K36:K95)</f>
        <v>777000</v>
      </c>
      <c r="E19" s="20"/>
      <c r="F19" s="20"/>
      <c r="G19" s="20"/>
      <c r="H19" s="20"/>
      <c r="I19" s="20"/>
      <c r="J19" s="21"/>
      <c r="K19" s="21"/>
      <c r="L19" s="12"/>
      <c r="M19" s="12"/>
      <c r="N19" s="12"/>
      <c r="O19" s="12"/>
      <c r="P19" s="13"/>
      <c r="Q19" s="13"/>
      <c r="R19" s="13"/>
      <c r="S19" s="13"/>
      <c r="T19" s="12"/>
      <c r="U19" s="24"/>
      <c r="AC19" s="156"/>
      <c r="AD19" s="12"/>
      <c r="AE19" s="12"/>
      <c r="AF19" s="12"/>
      <c r="AG19" s="254" t="s">
        <v>142</v>
      </c>
      <c r="AH19" s="159"/>
      <c r="AI19" s="190">
        <v>1</v>
      </c>
    </row>
    <row r="20" spans="1:35" ht="21" x14ac:dyDescent="0.35">
      <c r="A20" s="25"/>
      <c r="B20" s="222" t="s">
        <v>53</v>
      </c>
      <c r="C20" s="214"/>
      <c r="D20" s="224">
        <f>SUM(N36:N95)</f>
        <v>970387.5</v>
      </c>
      <c r="E20" s="20"/>
      <c r="F20" s="20"/>
      <c r="G20" s="20"/>
      <c r="H20" s="20"/>
      <c r="I20" s="20"/>
      <c r="J20" s="21"/>
      <c r="K20" s="21"/>
      <c r="L20" s="12"/>
      <c r="M20" s="12"/>
      <c r="N20" s="12"/>
      <c r="O20" s="12"/>
      <c r="P20" s="13"/>
      <c r="Q20" s="13"/>
      <c r="R20" s="13"/>
      <c r="S20" s="13"/>
      <c r="T20" s="12"/>
      <c r="U20" s="24"/>
      <c r="AC20" s="156"/>
      <c r="AD20" s="12"/>
      <c r="AE20" s="12"/>
      <c r="AF20" s="12"/>
      <c r="AG20" s="12"/>
      <c r="AH20" s="12"/>
      <c r="AI20" s="104"/>
    </row>
    <row r="21" spans="1:35" ht="21" x14ac:dyDescent="0.35">
      <c r="A21" s="25"/>
      <c r="B21" s="222" t="s">
        <v>60</v>
      </c>
      <c r="C21" s="214"/>
      <c r="D21" s="225">
        <f>D20-D19</f>
        <v>193387.5</v>
      </c>
      <c r="E21" s="7"/>
      <c r="F21" s="20"/>
      <c r="G21" s="20"/>
      <c r="H21" s="20"/>
      <c r="I21" s="20"/>
      <c r="J21" s="21"/>
      <c r="K21" s="21"/>
      <c r="L21" s="12"/>
      <c r="M21" s="12"/>
      <c r="N21" s="12"/>
      <c r="O21" s="12"/>
      <c r="P21" s="13"/>
      <c r="Q21" s="13"/>
      <c r="R21" s="13"/>
      <c r="S21" s="13"/>
      <c r="T21" s="12"/>
      <c r="U21" s="24"/>
      <c r="AC21" s="156"/>
      <c r="AD21" s="12"/>
      <c r="AE21" s="12"/>
      <c r="AF21" s="12"/>
      <c r="AG21" s="12"/>
      <c r="AH21" s="12"/>
      <c r="AI21" s="104"/>
    </row>
    <row r="22" spans="1:35" ht="21" x14ac:dyDescent="0.35">
      <c r="A22" s="25"/>
      <c r="B22" s="229" t="s">
        <v>54</v>
      </c>
      <c r="C22" s="215"/>
      <c r="D22" s="226">
        <f>IFERROR(D20/D19,)</f>
        <v>1.2488899613899613</v>
      </c>
      <c r="F22" s="20"/>
      <c r="G22" s="20"/>
      <c r="H22" s="20"/>
      <c r="I22" s="20"/>
      <c r="J22" s="21"/>
      <c r="K22" s="21"/>
      <c r="L22" s="12"/>
      <c r="M22" s="12"/>
      <c r="N22" s="12"/>
      <c r="O22" s="12"/>
      <c r="P22" s="13"/>
      <c r="Q22" s="13"/>
      <c r="R22" s="13"/>
      <c r="S22" s="13"/>
      <c r="T22" s="12"/>
      <c r="U22" s="24"/>
      <c r="AC22" s="156"/>
      <c r="AD22" s="12"/>
      <c r="AE22" s="12"/>
      <c r="AF22" s="12"/>
      <c r="AG22" s="12"/>
      <c r="AH22" s="12"/>
      <c r="AI22" s="104"/>
    </row>
    <row r="23" spans="1:35" ht="21" x14ac:dyDescent="0.35">
      <c r="A23" s="25"/>
      <c r="B23" s="216" t="s">
        <v>20</v>
      </c>
      <c r="C23" s="217"/>
      <c r="D23" s="227">
        <f>SUM(F36:F95)</f>
        <v>77631</v>
      </c>
      <c r="E23" s="31"/>
      <c r="F23" s="20"/>
      <c r="G23" s="20"/>
      <c r="H23" s="20"/>
      <c r="I23" s="20"/>
      <c r="J23" s="21"/>
      <c r="K23" s="21"/>
      <c r="L23" s="12"/>
      <c r="M23" s="12"/>
      <c r="N23" s="12"/>
      <c r="O23" s="12"/>
      <c r="P23" s="13"/>
      <c r="Q23" s="13"/>
      <c r="R23" s="13"/>
      <c r="S23" s="13"/>
      <c r="T23" s="12"/>
      <c r="U23" s="24"/>
      <c r="AC23" s="156"/>
      <c r="AD23" s="12"/>
      <c r="AE23" s="12"/>
      <c r="AF23" s="12"/>
      <c r="AG23" s="301" t="s">
        <v>114</v>
      </c>
      <c r="AH23" s="255">
        <f>AD8+(AD9*$AI$19)</f>
        <v>2379.4634416426829</v>
      </c>
      <c r="AI23" s="256">
        <f>_xlfn.NORM.DIST(AH23,Planejamento!AD8,Planejamento!AD9,TRUE)</f>
        <v>0.84134474606854304</v>
      </c>
    </row>
    <row r="24" spans="1:35" ht="21" x14ac:dyDescent="0.35">
      <c r="A24" s="25"/>
      <c r="B24" s="222" t="s">
        <v>21</v>
      </c>
      <c r="C24" s="214"/>
      <c r="D24" s="227">
        <f>-SUM(E36:E95)</f>
        <v>77631</v>
      </c>
      <c r="E24" s="7"/>
      <c r="F24" s="20"/>
      <c r="G24" s="20"/>
      <c r="H24" s="20"/>
      <c r="I24" s="20"/>
      <c r="J24" s="21"/>
      <c r="K24" s="21"/>
      <c r="L24" s="12"/>
      <c r="M24" s="12"/>
      <c r="N24" s="12"/>
      <c r="O24" s="12"/>
      <c r="P24" s="13"/>
      <c r="Q24" s="13"/>
      <c r="R24" s="13"/>
      <c r="S24" s="13"/>
      <c r="T24" s="12"/>
      <c r="U24" s="24"/>
      <c r="AC24" s="156"/>
      <c r="AD24" s="12"/>
      <c r="AE24" s="12"/>
      <c r="AF24" s="12"/>
      <c r="AG24" s="301" t="s">
        <v>140</v>
      </c>
      <c r="AH24" s="255">
        <f>AD8-(AD9*$AI$19)</f>
        <v>496.53655835731706</v>
      </c>
      <c r="AI24" s="256">
        <f>_xlfn.NORM.DIST(AH24,Planejamento!AD8,Planejamento!AD9,TRUE)</f>
        <v>0.15865525393145699</v>
      </c>
    </row>
    <row r="25" spans="1:35" ht="21" x14ac:dyDescent="0.35">
      <c r="A25" s="25"/>
      <c r="B25" s="213" t="s">
        <v>66</v>
      </c>
      <c r="C25" s="220"/>
      <c r="D25" s="218">
        <f>D23-D24</f>
        <v>0</v>
      </c>
      <c r="E25" s="31"/>
      <c r="F25" s="20"/>
      <c r="G25" s="20"/>
      <c r="H25" s="20"/>
      <c r="I25" s="20"/>
      <c r="J25" s="21"/>
      <c r="K25" s="21"/>
      <c r="L25" s="12"/>
      <c r="M25" s="12"/>
      <c r="N25" s="12"/>
      <c r="O25" s="12"/>
      <c r="P25" s="13"/>
      <c r="Q25" s="13"/>
      <c r="R25" s="13"/>
      <c r="S25" s="13"/>
      <c r="T25" s="12"/>
      <c r="U25" s="24"/>
      <c r="AB25" s="117"/>
      <c r="AC25" s="156"/>
      <c r="AD25" s="12"/>
      <c r="AE25" s="12"/>
      <c r="AF25" s="12"/>
      <c r="AG25" s="240"/>
      <c r="AH25" s="232"/>
      <c r="AI25" s="257"/>
    </row>
    <row r="26" spans="1:35" ht="21.75" thickBot="1" x14ac:dyDescent="0.4">
      <c r="A26" s="25"/>
      <c r="B26" s="325" t="s">
        <v>22</v>
      </c>
      <c r="C26" s="326"/>
      <c r="D26" s="228">
        <f>IFERROR(ABS(SUM($H$36:$H$95)/D23),0)</f>
        <v>0</v>
      </c>
      <c r="E26" s="31"/>
      <c r="F26" s="20"/>
      <c r="G26" s="20"/>
      <c r="H26" s="20"/>
      <c r="I26" s="20"/>
      <c r="J26" s="21"/>
      <c r="K26" s="31"/>
      <c r="L26" s="21"/>
      <c r="M26" s="12"/>
      <c r="N26" s="12"/>
      <c r="O26" s="12"/>
      <c r="P26" s="13"/>
      <c r="Q26" s="13"/>
      <c r="R26" s="13"/>
      <c r="S26" s="13"/>
      <c r="T26" s="12"/>
      <c r="U26" s="24"/>
      <c r="AC26" s="156"/>
      <c r="AD26" s="12"/>
      <c r="AE26" s="12"/>
      <c r="AF26" s="12"/>
      <c r="AG26" s="240"/>
      <c r="AH26" s="232"/>
      <c r="AI26" s="257"/>
    </row>
    <row r="27" spans="1:35" ht="27" customHeight="1" x14ac:dyDescent="0.25">
      <c r="A27" s="25"/>
      <c r="B27" s="309">
        <v>96</v>
      </c>
      <c r="C27" s="310">
        <v>1</v>
      </c>
      <c r="D27" s="310"/>
      <c r="E27" s="95"/>
      <c r="F27" s="96"/>
      <c r="G27" s="97"/>
      <c r="H27" s="96"/>
      <c r="I27" s="96"/>
      <c r="J27" s="98"/>
      <c r="K27" s="99"/>
      <c r="L27" s="100"/>
      <c r="M27" s="100"/>
      <c r="N27" s="100"/>
      <c r="O27" s="100"/>
      <c r="P27" s="101"/>
      <c r="Q27" s="101"/>
      <c r="R27" s="101"/>
      <c r="S27" s="101"/>
      <c r="T27" s="100"/>
      <c r="U27" s="101"/>
      <c r="V27" s="100"/>
      <c r="W27" s="100"/>
      <c r="X27" s="100"/>
      <c r="Y27" s="102"/>
      <c r="AC27" s="156"/>
      <c r="AD27" s="12"/>
      <c r="AE27" s="196"/>
      <c r="AF27" s="12"/>
      <c r="AG27" s="302" t="s">
        <v>141</v>
      </c>
      <c r="AH27" s="258"/>
      <c r="AI27" s="259">
        <f>AI23-AI24</f>
        <v>0.68268949213708607</v>
      </c>
    </row>
    <row r="28" spans="1:35" ht="27" customHeight="1" x14ac:dyDescent="0.25">
      <c r="A28" s="25"/>
      <c r="B28" s="311"/>
      <c r="C28" s="312"/>
      <c r="D28" s="312"/>
      <c r="E28" s="103"/>
      <c r="F28" s="20"/>
      <c r="G28" s="20"/>
      <c r="H28" s="20"/>
      <c r="I28" s="20"/>
      <c r="J28" s="21"/>
      <c r="K28" s="11"/>
      <c r="L28" s="12"/>
      <c r="M28" s="12"/>
      <c r="N28" s="12"/>
      <c r="O28" s="12"/>
      <c r="P28" s="24"/>
      <c r="Q28" s="24"/>
      <c r="R28" s="24"/>
      <c r="S28" s="24"/>
      <c r="T28" s="12"/>
      <c r="U28" s="24"/>
      <c r="V28" s="12"/>
      <c r="W28" s="12"/>
      <c r="X28" s="12"/>
      <c r="Y28" s="104"/>
      <c r="AC28" s="156"/>
      <c r="AD28" s="12"/>
      <c r="AE28" s="12"/>
      <c r="AF28" s="12"/>
      <c r="AG28" s="12"/>
      <c r="AH28" s="12"/>
      <c r="AI28" s="104"/>
    </row>
    <row r="29" spans="1:35" ht="27" customHeight="1" x14ac:dyDescent="0.25">
      <c r="A29" s="25"/>
      <c r="B29" s="313">
        <v>61</v>
      </c>
      <c r="C29" s="312"/>
      <c r="D29" s="312"/>
      <c r="E29" s="103"/>
      <c r="F29" s="20"/>
      <c r="G29" s="20"/>
      <c r="H29" s="118"/>
      <c r="I29" s="118"/>
      <c r="J29" s="118"/>
      <c r="K29" s="33"/>
      <c r="L29" s="32"/>
      <c r="M29" s="12"/>
      <c r="N29" s="12"/>
      <c r="O29" s="12"/>
      <c r="P29" s="24"/>
      <c r="Q29" s="24"/>
      <c r="R29" s="24"/>
      <c r="S29" s="24"/>
      <c r="T29" s="12"/>
      <c r="U29" s="24"/>
      <c r="V29" s="12"/>
      <c r="W29" s="12"/>
      <c r="X29" s="12"/>
      <c r="Y29" s="104"/>
      <c r="AC29" s="156"/>
      <c r="AD29" s="12"/>
      <c r="AE29" s="12"/>
      <c r="AF29" s="12"/>
      <c r="AG29" s="12"/>
      <c r="AH29" s="232"/>
      <c r="AI29" s="260" t="s">
        <v>151</v>
      </c>
    </row>
    <row r="30" spans="1:35" ht="27" customHeight="1" x14ac:dyDescent="0.25">
      <c r="A30" s="25"/>
      <c r="B30" s="314">
        <v>61</v>
      </c>
      <c r="C30" s="312"/>
      <c r="D30" s="312"/>
      <c r="E30" s="103"/>
      <c r="F30" s="20"/>
      <c r="G30" s="20"/>
      <c r="H30" s="333"/>
      <c r="I30" s="333"/>
      <c r="J30" s="333"/>
      <c r="K30" s="335"/>
      <c r="L30" s="335"/>
      <c r="M30" s="335"/>
      <c r="N30" s="335"/>
      <c r="O30" s="335"/>
      <c r="P30" s="24"/>
      <c r="Q30" s="24"/>
      <c r="R30" s="24"/>
      <c r="S30" s="24"/>
      <c r="T30" s="12"/>
      <c r="U30" s="24"/>
      <c r="W30" s="124" t="s">
        <v>118</v>
      </c>
      <c r="X30" s="124" t="s">
        <v>117</v>
      </c>
      <c r="Y30" s="104"/>
      <c r="AC30" s="156"/>
      <c r="AD30" s="12"/>
      <c r="AE30" s="12"/>
      <c r="AF30" s="12"/>
      <c r="AG30" s="12"/>
      <c r="AH30" s="261" t="s">
        <v>152</v>
      </c>
      <c r="AI30" s="241">
        <f>'Apoio Graf'!BK206</f>
        <v>8</v>
      </c>
    </row>
    <row r="31" spans="1:35" ht="27" customHeight="1" x14ac:dyDescent="0.25">
      <c r="A31" s="25"/>
      <c r="B31" s="313">
        <v>62</v>
      </c>
      <c r="C31" s="312"/>
      <c r="D31" s="312"/>
      <c r="E31" s="103"/>
      <c r="F31" s="8"/>
      <c r="G31" s="8"/>
      <c r="H31" s="333"/>
      <c r="I31" s="333"/>
      <c r="J31" s="333"/>
      <c r="K31" s="335"/>
      <c r="L31" s="335"/>
      <c r="M31" s="335"/>
      <c r="N31" s="335"/>
      <c r="O31" s="335"/>
      <c r="P31" s="24"/>
      <c r="Q31" s="24"/>
      <c r="R31" s="24"/>
      <c r="S31" s="24"/>
      <c r="T31" s="12"/>
      <c r="U31" s="24"/>
      <c r="W31" s="14">
        <f>SUM(W36:W95)</f>
        <v>0</v>
      </c>
      <c r="X31" s="14">
        <f>SUM(R36:R95)</f>
        <v>77700</v>
      </c>
      <c r="Y31" s="104"/>
      <c r="AC31" s="156"/>
      <c r="AD31" s="12"/>
      <c r="AE31" s="12"/>
      <c r="AF31" s="12"/>
      <c r="AG31" s="12"/>
      <c r="AH31" s="261"/>
      <c r="AI31" s="257"/>
    </row>
    <row r="32" spans="1:35" ht="27" customHeight="1" x14ac:dyDescent="0.25">
      <c r="A32" s="25"/>
      <c r="B32" s="314"/>
      <c r="C32" s="312"/>
      <c r="D32" s="312"/>
      <c r="E32" s="103"/>
      <c r="F32" s="20"/>
      <c r="G32" s="105"/>
      <c r="H32" s="20"/>
      <c r="I32" s="334"/>
      <c r="J32" s="334"/>
      <c r="K32" s="335"/>
      <c r="L32" s="335"/>
      <c r="M32" s="335"/>
      <c r="N32" s="335"/>
      <c r="O32" s="335"/>
      <c r="P32" s="24"/>
      <c r="Q32" s="24"/>
      <c r="R32" s="24"/>
      <c r="S32" s="24"/>
      <c r="T32" s="12"/>
      <c r="U32" s="24"/>
      <c r="V32" s="12"/>
      <c r="W32" s="12"/>
      <c r="X32" s="12"/>
      <c r="Y32" s="104"/>
      <c r="AC32" s="156"/>
      <c r="AD32" s="12"/>
      <c r="AE32" s="12"/>
      <c r="AF32" s="12"/>
      <c r="AG32" s="12"/>
      <c r="AH32" s="261" t="s">
        <v>153</v>
      </c>
      <c r="AI32" s="241">
        <f>'Apoio Graf'!BK207</f>
        <v>15</v>
      </c>
    </row>
    <row r="33" spans="1:35" ht="27" customHeight="1" thickBot="1" x14ac:dyDescent="0.3">
      <c r="A33" s="25"/>
      <c r="B33" s="308"/>
      <c r="C33" s="307"/>
      <c r="D33" s="307"/>
      <c r="E33" s="106"/>
      <c r="F33" s="107"/>
      <c r="G33" s="107"/>
      <c r="H33" s="107"/>
      <c r="I33" s="107"/>
      <c r="J33" s="108"/>
      <c r="K33" s="108"/>
      <c r="L33" s="109"/>
      <c r="M33" s="109"/>
      <c r="N33" s="109"/>
      <c r="O33" s="109"/>
      <c r="P33" s="110"/>
      <c r="Q33" s="110"/>
      <c r="R33" s="110"/>
      <c r="S33" s="110"/>
      <c r="T33" s="109"/>
      <c r="U33" s="110"/>
      <c r="V33" s="109"/>
      <c r="W33" s="109"/>
      <c r="X33" s="109"/>
      <c r="Y33" s="111"/>
      <c r="AC33" s="158"/>
      <c r="AD33" s="109"/>
      <c r="AE33" s="109"/>
      <c r="AF33" s="109"/>
      <c r="AG33" s="109"/>
      <c r="AH33" s="109"/>
      <c r="AI33" s="111"/>
    </row>
    <row r="34" spans="1:35" s="3" customFormat="1" ht="30.95" customHeight="1" thickBot="1" x14ac:dyDescent="0.3">
      <c r="A34" s="30"/>
      <c r="B34" s="323" t="s">
        <v>0</v>
      </c>
      <c r="C34" s="331" t="s">
        <v>12</v>
      </c>
      <c r="D34" s="332"/>
      <c r="E34" s="328"/>
      <c r="F34" s="328"/>
      <c r="G34" s="328"/>
      <c r="H34" s="328"/>
      <c r="I34" s="328"/>
      <c r="J34" s="329"/>
      <c r="K34" s="327" t="s">
        <v>16</v>
      </c>
      <c r="L34" s="328"/>
      <c r="M34" s="328"/>
      <c r="N34" s="328"/>
      <c r="O34" s="329"/>
      <c r="P34" s="327" t="s">
        <v>5</v>
      </c>
      <c r="Q34" s="328"/>
      <c r="R34" s="328"/>
      <c r="S34" s="328"/>
      <c r="T34" s="329"/>
      <c r="U34" s="327" t="s">
        <v>6</v>
      </c>
      <c r="V34" s="328"/>
      <c r="W34" s="328"/>
      <c r="X34" s="328"/>
      <c r="Y34" s="330"/>
      <c r="Z34" s="16"/>
      <c r="AC34" s="160" t="s">
        <v>144</v>
      </c>
      <c r="AD34" s="161"/>
      <c r="AE34" s="161"/>
      <c r="AF34" s="161"/>
      <c r="AG34" s="161"/>
      <c r="AH34" s="161"/>
      <c r="AI34" s="162"/>
    </row>
    <row r="35" spans="1:35" s="3" customFormat="1" ht="63" x14ac:dyDescent="0.25">
      <c r="A35" s="30"/>
      <c r="B35" s="324"/>
      <c r="C35" s="262" t="s">
        <v>1</v>
      </c>
      <c r="D35" s="263" t="s">
        <v>2</v>
      </c>
      <c r="E35" s="263" t="s">
        <v>3</v>
      </c>
      <c r="F35" s="263" t="s">
        <v>51</v>
      </c>
      <c r="G35" s="263" t="s">
        <v>84</v>
      </c>
      <c r="H35" s="263" t="s">
        <v>62</v>
      </c>
      <c r="I35" s="263" t="s">
        <v>18</v>
      </c>
      <c r="J35" s="264" t="s">
        <v>17</v>
      </c>
      <c r="K35" s="265" t="s">
        <v>13</v>
      </c>
      <c r="L35" s="265" t="s">
        <v>177</v>
      </c>
      <c r="M35" s="265" t="s">
        <v>19</v>
      </c>
      <c r="N35" s="265" t="s">
        <v>14</v>
      </c>
      <c r="O35" s="265" t="s">
        <v>15</v>
      </c>
      <c r="P35" s="266">
        <f>IF(D10&lt;50,10,IF(AND(D10&gt;=50,D10&lt;=100),50,100))</f>
        <v>100</v>
      </c>
      <c r="Q35" s="265" t="s">
        <v>4</v>
      </c>
      <c r="R35" s="265" t="s">
        <v>74</v>
      </c>
      <c r="S35" s="265" t="s">
        <v>7</v>
      </c>
      <c r="T35" s="267" t="s">
        <v>8</v>
      </c>
      <c r="U35" s="266">
        <v>0</v>
      </c>
      <c r="V35" s="265" t="s">
        <v>4</v>
      </c>
      <c r="W35" s="265">
        <f>U35</f>
        <v>0</v>
      </c>
      <c r="X35" s="265" t="s">
        <v>7</v>
      </c>
      <c r="Y35" s="268" t="s">
        <v>8</v>
      </c>
      <c r="Z35" s="16"/>
      <c r="AC35" s="181"/>
      <c r="AD35" s="182"/>
      <c r="AE35" s="182"/>
      <c r="AF35" s="182"/>
      <c r="AG35" s="182"/>
      <c r="AH35" s="182"/>
      <c r="AI35" s="183"/>
    </row>
    <row r="36" spans="1:35" ht="18.75" x14ac:dyDescent="0.25">
      <c r="A36" s="25" t="str">
        <f t="shared" ref="A36:A67" si="2">IF(B36=$B$30,B36,"")</f>
        <v/>
      </c>
      <c r="B36" s="269">
        <v>1</v>
      </c>
      <c r="C36" s="270">
        <f>D36+E36</f>
        <v>0</v>
      </c>
      <c r="D36" s="271">
        <f t="shared" ref="D36:D67" si="3">IF(B36&lt;=$B$30,IFERROR(VLOOKUP(B36,Q:S,2,0),0)+IFERROR(VLOOKUP(B36,V:X,2,0),0),0)</f>
        <v>0</v>
      </c>
      <c r="E36" s="272">
        <v>0</v>
      </c>
      <c r="F36" s="273">
        <v>0</v>
      </c>
      <c r="G36" s="273">
        <v>0</v>
      </c>
      <c r="H36" s="272">
        <f t="shared" ref="H36:H53" si="4">IF(-(F36+E36)&lt;=0,-(F36+E36),0)</f>
        <v>0</v>
      </c>
      <c r="I36" s="274">
        <v>0</v>
      </c>
      <c r="J36" s="275">
        <f>IFERROR(K36/D36,0)*C36</f>
        <v>0</v>
      </c>
      <c r="K36" s="274">
        <f t="shared" ref="K36:K37" si="5">L36+M36</f>
        <v>0</v>
      </c>
      <c r="L36" s="274">
        <f t="shared" ref="L36:L67" si="6">IFERROR(VLOOKUP(B36,Q:T,4,0),0)</f>
        <v>0</v>
      </c>
      <c r="M36" s="274">
        <f t="shared" ref="M36:M67" si="7">IFERROR(VLOOKUP(B36,V:Y,4,0),0)</f>
        <v>0</v>
      </c>
      <c r="N36" s="274">
        <f t="shared" ref="N36:N67" si="8">-E36*$D$16</f>
        <v>0</v>
      </c>
      <c r="O36" s="276">
        <f>N36-K36</f>
        <v>0</v>
      </c>
      <c r="P36" s="277"/>
      <c r="Q36" s="271">
        <f t="shared" ref="Q36:Q67" si="9">IF(P36&gt;0,B36+$D$5,0)</f>
        <v>0</v>
      </c>
      <c r="R36" s="278">
        <f>CEILING(P36,$P$35)</f>
        <v>0</v>
      </c>
      <c r="S36" s="279">
        <f t="shared" ref="S36:S67" si="10">IF(P36&gt;0,$D$4,0)</f>
        <v>0</v>
      </c>
      <c r="T36" s="275">
        <f>R36*S36</f>
        <v>0</v>
      </c>
      <c r="U36" s="280"/>
      <c r="V36" s="281">
        <f t="shared" ref="V36:V67" si="11">IF(U36&gt;0,B36+$D$8,0)</f>
        <v>0</v>
      </c>
      <c r="W36" s="282">
        <f>U36</f>
        <v>0</v>
      </c>
      <c r="X36" s="279">
        <f t="shared" ref="X36:X67" si="12">IF(U36&gt;0,$D$7,0)</f>
        <v>0</v>
      </c>
      <c r="Y36" s="283">
        <f>U36*X36</f>
        <v>0</v>
      </c>
      <c r="Z36" s="180">
        <v>0</v>
      </c>
      <c r="AC36" s="184"/>
      <c r="AD36" s="185"/>
      <c r="AE36" s="185"/>
      <c r="AF36" s="185"/>
      <c r="AG36" s="185"/>
      <c r="AH36" s="185"/>
      <c r="AI36" s="186"/>
    </row>
    <row r="37" spans="1:35" ht="18.75" x14ac:dyDescent="0.25">
      <c r="A37" s="25" t="str">
        <f t="shared" si="2"/>
        <v/>
      </c>
      <c r="B37" s="269">
        <f>B36+1</f>
        <v>2</v>
      </c>
      <c r="C37" s="270">
        <f>IF(F37="",NA(),D37+E37+C36)</f>
        <v>0</v>
      </c>
      <c r="D37" s="271">
        <f t="shared" si="3"/>
        <v>0</v>
      </c>
      <c r="E37" s="272">
        <f>IF(C36+D37&gt;=F37,-F37,-C36-D37)</f>
        <v>0</v>
      </c>
      <c r="F37" s="273">
        <v>0</v>
      </c>
      <c r="G37" s="273">
        <v>0</v>
      </c>
      <c r="H37" s="272">
        <f t="shared" si="4"/>
        <v>0</v>
      </c>
      <c r="I37" s="274">
        <f>IFERROR(IF(D37=0,I36,((L37+M37)+(C36*I36))/C37),0)</f>
        <v>0</v>
      </c>
      <c r="J37" s="275">
        <f>IFERROR(I37*C37,0)</f>
        <v>0</v>
      </c>
      <c r="K37" s="274">
        <f t="shared" si="5"/>
        <v>0</v>
      </c>
      <c r="L37" s="274">
        <f t="shared" si="6"/>
        <v>0</v>
      </c>
      <c r="M37" s="274">
        <f t="shared" si="7"/>
        <v>0</v>
      </c>
      <c r="N37" s="274">
        <f t="shared" si="8"/>
        <v>0</v>
      </c>
      <c r="O37" s="276">
        <f>N37-K37+O36</f>
        <v>0</v>
      </c>
      <c r="P37" s="277">
        <v>8600</v>
      </c>
      <c r="Q37" s="271">
        <f t="shared" si="9"/>
        <v>7</v>
      </c>
      <c r="R37" s="278">
        <f t="shared" ref="R37:R95" si="13">CEILING(P37,$P$35)</f>
        <v>8600</v>
      </c>
      <c r="S37" s="279">
        <f t="shared" si="10"/>
        <v>10</v>
      </c>
      <c r="T37" s="275">
        <f t="shared" ref="T37:T95" si="14">R37*S37</f>
        <v>86000</v>
      </c>
      <c r="U37" s="280">
        <v>0</v>
      </c>
      <c r="V37" s="281">
        <f t="shared" si="11"/>
        <v>0</v>
      </c>
      <c r="W37" s="282">
        <f t="shared" ref="W37" si="15">U37</f>
        <v>0</v>
      </c>
      <c r="X37" s="279">
        <f t="shared" si="12"/>
        <v>0</v>
      </c>
      <c r="Y37" s="284">
        <f t="shared" ref="Y37" si="16">U37*X37</f>
        <v>0</v>
      </c>
      <c r="Z37" s="180">
        <v>0</v>
      </c>
      <c r="AA37" s="35"/>
      <c r="AB37" s="35"/>
      <c r="AC37" s="184"/>
      <c r="AD37" s="185"/>
      <c r="AE37" s="185"/>
      <c r="AF37" s="185"/>
      <c r="AG37" s="185"/>
      <c r="AH37" s="185"/>
      <c r="AI37" s="186"/>
    </row>
    <row r="38" spans="1:35" ht="18.75" x14ac:dyDescent="0.25">
      <c r="A38" s="25" t="str">
        <f t="shared" si="2"/>
        <v/>
      </c>
      <c r="B38" s="269">
        <f t="shared" ref="B38:B95" si="17">B37+1</f>
        <v>3</v>
      </c>
      <c r="C38" s="270">
        <f t="shared" ref="C38:C95" si="18">IF(F38="",NA(),D38+E38+C37)</f>
        <v>0</v>
      </c>
      <c r="D38" s="271">
        <f t="shared" si="3"/>
        <v>0</v>
      </c>
      <c r="E38" s="272">
        <f>IFERROR(IF(C37+D38&gt;=F38+((SUM($F$36:$F37)-ABS(SUM($E$36:$E37)))),-F38-((SUM($F$36:$F37)-ABS(SUM($E$36:$E37)))),-C37-D38),0)</f>
        <v>0</v>
      </c>
      <c r="F38" s="273">
        <v>0</v>
      </c>
      <c r="G38" s="273">
        <v>0</v>
      </c>
      <c r="H38" s="272">
        <f t="shared" si="4"/>
        <v>0</v>
      </c>
      <c r="I38" s="274">
        <f t="shared" ref="I38:I95" si="19">IFERROR(IF(D38=0,I37,((L38+M38)+(C37*I37))/C38),0)</f>
        <v>0</v>
      </c>
      <c r="J38" s="275">
        <f t="shared" ref="J38:J95" si="20">IFERROR(I38*C38,0)</f>
        <v>0</v>
      </c>
      <c r="K38" s="274">
        <f t="shared" ref="K38:K95" si="21">L38+M38</f>
        <v>0</v>
      </c>
      <c r="L38" s="274">
        <f t="shared" si="6"/>
        <v>0</v>
      </c>
      <c r="M38" s="274">
        <f t="shared" si="7"/>
        <v>0</v>
      </c>
      <c r="N38" s="274">
        <f t="shared" si="8"/>
        <v>0</v>
      </c>
      <c r="O38" s="276">
        <f t="shared" ref="O38:O95" si="22">N38-K38+O37</f>
        <v>0</v>
      </c>
      <c r="P38" s="277">
        <v>0</v>
      </c>
      <c r="Q38" s="271">
        <f t="shared" si="9"/>
        <v>0</v>
      </c>
      <c r="R38" s="278">
        <f t="shared" si="13"/>
        <v>0</v>
      </c>
      <c r="S38" s="279">
        <f t="shared" si="10"/>
        <v>0</v>
      </c>
      <c r="T38" s="275">
        <f t="shared" si="14"/>
        <v>0</v>
      </c>
      <c r="U38" s="280">
        <v>0</v>
      </c>
      <c r="V38" s="281">
        <f t="shared" si="11"/>
        <v>0</v>
      </c>
      <c r="W38" s="282">
        <f t="shared" ref="W38:W95" si="23">U38</f>
        <v>0</v>
      </c>
      <c r="X38" s="279">
        <f t="shared" si="12"/>
        <v>0</v>
      </c>
      <c r="Y38" s="284">
        <f t="shared" ref="Y38:Y95" si="24">U38*X38</f>
        <v>0</v>
      </c>
      <c r="Z38" s="180">
        <v>0</v>
      </c>
      <c r="AC38" s="184"/>
      <c r="AD38" s="185"/>
      <c r="AE38" s="185"/>
      <c r="AF38" s="185"/>
      <c r="AG38" s="185"/>
      <c r="AH38" s="185"/>
      <c r="AI38" s="186"/>
    </row>
    <row r="39" spans="1:35" ht="18.75" x14ac:dyDescent="0.25">
      <c r="A39" s="25" t="str">
        <f t="shared" si="2"/>
        <v/>
      </c>
      <c r="B39" s="269">
        <f t="shared" si="17"/>
        <v>4</v>
      </c>
      <c r="C39" s="270">
        <f t="shared" si="18"/>
        <v>0</v>
      </c>
      <c r="D39" s="271">
        <f t="shared" si="3"/>
        <v>0</v>
      </c>
      <c r="E39" s="272">
        <f>IFERROR(IF(C38+D39&gt;=F39+((SUM($F$36:$F38)-ABS(SUM($E$36:$E38)))),-F39-((SUM($F$36:$F38)-ABS(SUM($E$36:$E38)))),-C38-D39),0)</f>
        <v>0</v>
      </c>
      <c r="F39" s="273">
        <v>0</v>
      </c>
      <c r="G39" s="273">
        <v>0</v>
      </c>
      <c r="H39" s="272">
        <f t="shared" si="4"/>
        <v>0</v>
      </c>
      <c r="I39" s="274">
        <f t="shared" si="19"/>
        <v>0</v>
      </c>
      <c r="J39" s="275">
        <f t="shared" si="20"/>
        <v>0</v>
      </c>
      <c r="K39" s="274">
        <f t="shared" si="21"/>
        <v>0</v>
      </c>
      <c r="L39" s="274">
        <f t="shared" si="6"/>
        <v>0</v>
      </c>
      <c r="M39" s="274">
        <f t="shared" si="7"/>
        <v>0</v>
      </c>
      <c r="N39" s="274">
        <f t="shared" si="8"/>
        <v>0</v>
      </c>
      <c r="O39" s="276">
        <f t="shared" si="22"/>
        <v>0</v>
      </c>
      <c r="P39" s="277">
        <v>0</v>
      </c>
      <c r="Q39" s="271">
        <f t="shared" si="9"/>
        <v>0</v>
      </c>
      <c r="R39" s="278">
        <f t="shared" si="13"/>
        <v>0</v>
      </c>
      <c r="S39" s="279">
        <f t="shared" si="10"/>
        <v>0</v>
      </c>
      <c r="T39" s="275">
        <f t="shared" si="14"/>
        <v>0</v>
      </c>
      <c r="U39" s="280">
        <v>0</v>
      </c>
      <c r="V39" s="281">
        <f t="shared" si="11"/>
        <v>0</v>
      </c>
      <c r="W39" s="282">
        <f t="shared" si="23"/>
        <v>0</v>
      </c>
      <c r="X39" s="279">
        <f t="shared" si="12"/>
        <v>0</v>
      </c>
      <c r="Y39" s="284">
        <f t="shared" si="24"/>
        <v>0</v>
      </c>
      <c r="Z39" s="180">
        <v>0</v>
      </c>
      <c r="AA39" s="35"/>
      <c r="AB39" s="35"/>
      <c r="AC39" s="184"/>
      <c r="AD39" s="185"/>
      <c r="AE39" s="185"/>
      <c r="AF39" s="185"/>
      <c r="AG39" s="185"/>
      <c r="AH39" s="185"/>
      <c r="AI39" s="186"/>
    </row>
    <row r="40" spans="1:35" ht="18.75" x14ac:dyDescent="0.25">
      <c r="A40" s="25" t="str">
        <f t="shared" si="2"/>
        <v/>
      </c>
      <c r="B40" s="269">
        <f t="shared" si="17"/>
        <v>5</v>
      </c>
      <c r="C40" s="270">
        <f t="shared" si="18"/>
        <v>0</v>
      </c>
      <c r="D40" s="271">
        <f t="shared" si="3"/>
        <v>0</v>
      </c>
      <c r="E40" s="272">
        <f>IFERROR(IF(C39+D40&gt;=F40+((SUM($F$36:$F39)-ABS(SUM($E$36:$E39)))),-F40-((SUM($F$36:$F39)-ABS(SUM($E$36:$E39)))),-C39-D40),0)</f>
        <v>0</v>
      </c>
      <c r="F40" s="273">
        <v>0</v>
      </c>
      <c r="G40" s="273">
        <v>0</v>
      </c>
      <c r="H40" s="272">
        <f t="shared" si="4"/>
        <v>0</v>
      </c>
      <c r="I40" s="274">
        <f t="shared" si="19"/>
        <v>0</v>
      </c>
      <c r="J40" s="275">
        <f t="shared" si="20"/>
        <v>0</v>
      </c>
      <c r="K40" s="274">
        <f t="shared" si="21"/>
        <v>0</v>
      </c>
      <c r="L40" s="274">
        <f t="shared" si="6"/>
        <v>0</v>
      </c>
      <c r="M40" s="274">
        <f t="shared" si="7"/>
        <v>0</v>
      </c>
      <c r="N40" s="274">
        <f t="shared" si="8"/>
        <v>0</v>
      </c>
      <c r="O40" s="276">
        <f t="shared" si="22"/>
        <v>0</v>
      </c>
      <c r="P40" s="277">
        <v>0</v>
      </c>
      <c r="Q40" s="271">
        <f t="shared" si="9"/>
        <v>0</v>
      </c>
      <c r="R40" s="278">
        <f t="shared" si="13"/>
        <v>0</v>
      </c>
      <c r="S40" s="279">
        <f t="shared" si="10"/>
        <v>0</v>
      </c>
      <c r="T40" s="275">
        <f t="shared" si="14"/>
        <v>0</v>
      </c>
      <c r="U40" s="280">
        <v>0</v>
      </c>
      <c r="V40" s="281">
        <f t="shared" si="11"/>
        <v>0</v>
      </c>
      <c r="W40" s="282">
        <f t="shared" si="23"/>
        <v>0</v>
      </c>
      <c r="X40" s="279">
        <f t="shared" si="12"/>
        <v>0</v>
      </c>
      <c r="Y40" s="284">
        <f t="shared" si="24"/>
        <v>0</v>
      </c>
      <c r="Z40" s="180">
        <v>0</v>
      </c>
      <c r="AC40" s="184"/>
      <c r="AD40" s="185"/>
      <c r="AE40" s="185"/>
      <c r="AF40" s="185"/>
      <c r="AG40" s="185"/>
      <c r="AH40" s="185"/>
      <c r="AI40" s="186"/>
    </row>
    <row r="41" spans="1:35" ht="18.75" x14ac:dyDescent="0.25">
      <c r="A41" s="25" t="str">
        <f t="shared" si="2"/>
        <v/>
      </c>
      <c r="B41" s="269">
        <f t="shared" si="17"/>
        <v>6</v>
      </c>
      <c r="C41" s="270">
        <f t="shared" si="18"/>
        <v>0</v>
      </c>
      <c r="D41" s="271">
        <f t="shared" si="3"/>
        <v>0</v>
      </c>
      <c r="E41" s="272">
        <f>IFERROR(IF(C40+D41&gt;=F41+((SUM($F$36:$F40)-ABS(SUM($E$36:$E40)))),-F41-((SUM($F$36:$F40)-ABS(SUM($E$36:$E40)))),-C40-D41),0)</f>
        <v>0</v>
      </c>
      <c r="F41" s="273">
        <v>0</v>
      </c>
      <c r="G41" s="273">
        <v>0</v>
      </c>
      <c r="H41" s="272">
        <f t="shared" si="4"/>
        <v>0</v>
      </c>
      <c r="I41" s="274">
        <f t="shared" si="19"/>
        <v>0</v>
      </c>
      <c r="J41" s="275">
        <f t="shared" si="20"/>
        <v>0</v>
      </c>
      <c r="K41" s="274">
        <f t="shared" si="21"/>
        <v>0</v>
      </c>
      <c r="L41" s="274">
        <f t="shared" si="6"/>
        <v>0</v>
      </c>
      <c r="M41" s="274">
        <f t="shared" si="7"/>
        <v>0</v>
      </c>
      <c r="N41" s="274">
        <f t="shared" si="8"/>
        <v>0</v>
      </c>
      <c r="O41" s="276">
        <f t="shared" si="22"/>
        <v>0</v>
      </c>
      <c r="P41" s="277">
        <v>0</v>
      </c>
      <c r="Q41" s="271">
        <f t="shared" si="9"/>
        <v>0</v>
      </c>
      <c r="R41" s="278">
        <f t="shared" si="13"/>
        <v>0</v>
      </c>
      <c r="S41" s="279">
        <f t="shared" si="10"/>
        <v>0</v>
      </c>
      <c r="T41" s="275">
        <f t="shared" si="14"/>
        <v>0</v>
      </c>
      <c r="U41" s="280">
        <v>0</v>
      </c>
      <c r="V41" s="281">
        <f t="shared" si="11"/>
        <v>0</v>
      </c>
      <c r="W41" s="282">
        <f t="shared" si="23"/>
        <v>0</v>
      </c>
      <c r="X41" s="279">
        <f t="shared" si="12"/>
        <v>0</v>
      </c>
      <c r="Y41" s="284">
        <f t="shared" si="24"/>
        <v>0</v>
      </c>
      <c r="Z41" s="180">
        <v>0</v>
      </c>
      <c r="AC41" s="184"/>
      <c r="AD41" s="185"/>
      <c r="AE41" s="185"/>
      <c r="AF41" s="185"/>
      <c r="AG41" s="185"/>
      <c r="AH41" s="185"/>
      <c r="AI41" s="186"/>
    </row>
    <row r="42" spans="1:35" ht="18.75" x14ac:dyDescent="0.25">
      <c r="A42" s="25" t="str">
        <f t="shared" si="2"/>
        <v/>
      </c>
      <c r="B42" s="269">
        <f t="shared" si="17"/>
        <v>7</v>
      </c>
      <c r="C42" s="270">
        <f t="shared" si="18"/>
        <v>6307</v>
      </c>
      <c r="D42" s="271">
        <f t="shared" si="3"/>
        <v>8600</v>
      </c>
      <c r="E42" s="272">
        <f>IFERROR(IF(C41+D42&gt;=F42+((SUM($F$36:$F41)-ABS(SUM($E$36:$E41)))),-F42-((SUM($F$36:$F41)-ABS(SUM($E$36:$E41)))),-C41-D42),0)</f>
        <v>-2293</v>
      </c>
      <c r="F42" s="273">
        <v>2293</v>
      </c>
      <c r="G42" s="273">
        <f>Produtos!E8</f>
        <v>2293</v>
      </c>
      <c r="H42" s="272">
        <f t="shared" si="4"/>
        <v>0</v>
      </c>
      <c r="I42" s="274">
        <f t="shared" si="19"/>
        <v>13.635642936419851</v>
      </c>
      <c r="J42" s="275">
        <f t="shared" si="20"/>
        <v>86000</v>
      </c>
      <c r="K42" s="274">
        <f t="shared" si="21"/>
        <v>86000</v>
      </c>
      <c r="L42" s="274">
        <f t="shared" si="6"/>
        <v>86000</v>
      </c>
      <c r="M42" s="274">
        <f t="shared" si="7"/>
        <v>0</v>
      </c>
      <c r="N42" s="274">
        <f t="shared" si="8"/>
        <v>28662.5</v>
      </c>
      <c r="O42" s="276">
        <f t="shared" si="22"/>
        <v>-57337.5</v>
      </c>
      <c r="P42" s="277">
        <v>8300</v>
      </c>
      <c r="Q42" s="271">
        <f t="shared" si="9"/>
        <v>12</v>
      </c>
      <c r="R42" s="278">
        <f t="shared" si="13"/>
        <v>8300</v>
      </c>
      <c r="S42" s="279">
        <f t="shared" si="10"/>
        <v>10</v>
      </c>
      <c r="T42" s="275">
        <f t="shared" si="14"/>
        <v>83000</v>
      </c>
      <c r="U42" s="280">
        <v>0</v>
      </c>
      <c r="V42" s="281">
        <f t="shared" si="11"/>
        <v>0</v>
      </c>
      <c r="W42" s="282">
        <f t="shared" si="23"/>
        <v>0</v>
      </c>
      <c r="X42" s="279">
        <f t="shared" si="12"/>
        <v>0</v>
      </c>
      <c r="Y42" s="284">
        <f t="shared" si="24"/>
        <v>0</v>
      </c>
      <c r="Z42" s="180">
        <v>6307</v>
      </c>
      <c r="AA42" s="35"/>
      <c r="AC42" s="184"/>
      <c r="AD42" s="185"/>
      <c r="AE42" s="185"/>
      <c r="AF42" s="185"/>
      <c r="AG42" s="185"/>
      <c r="AH42" s="185"/>
      <c r="AI42" s="186"/>
    </row>
    <row r="43" spans="1:35" ht="18.75" x14ac:dyDescent="0.25">
      <c r="A43" s="25" t="str">
        <f t="shared" si="2"/>
        <v/>
      </c>
      <c r="B43" s="269">
        <f t="shared" si="17"/>
        <v>8</v>
      </c>
      <c r="C43" s="270">
        <f t="shared" si="18"/>
        <v>4269</v>
      </c>
      <c r="D43" s="271">
        <f t="shared" si="3"/>
        <v>0</v>
      </c>
      <c r="E43" s="272">
        <f>IFERROR(IF(C42+D43&gt;=F43+((SUM($F$36:$F42)-ABS(SUM($E$36:$E42)))),-F43-((SUM($F$36:$F42)-ABS(SUM($E$36:$E42)))),-C42-D43),0)</f>
        <v>-2038</v>
      </c>
      <c r="F43" s="273">
        <v>2038</v>
      </c>
      <c r="G43" s="273">
        <f>Produtos!E9</f>
        <v>2038</v>
      </c>
      <c r="H43" s="272">
        <f t="shared" si="4"/>
        <v>0</v>
      </c>
      <c r="I43" s="274">
        <f t="shared" si="19"/>
        <v>13.635642936419851</v>
      </c>
      <c r="J43" s="275">
        <f t="shared" si="20"/>
        <v>58210.559695576347</v>
      </c>
      <c r="K43" s="274">
        <f t="shared" si="21"/>
        <v>0</v>
      </c>
      <c r="L43" s="274">
        <f t="shared" si="6"/>
        <v>0</v>
      </c>
      <c r="M43" s="274">
        <f t="shared" si="7"/>
        <v>0</v>
      </c>
      <c r="N43" s="274">
        <f t="shared" si="8"/>
        <v>25475</v>
      </c>
      <c r="O43" s="276">
        <f t="shared" si="22"/>
        <v>-31862.5</v>
      </c>
      <c r="P43" s="277">
        <v>0</v>
      </c>
      <c r="Q43" s="271">
        <f t="shared" si="9"/>
        <v>0</v>
      </c>
      <c r="R43" s="278">
        <f t="shared" si="13"/>
        <v>0</v>
      </c>
      <c r="S43" s="279">
        <f t="shared" si="10"/>
        <v>0</v>
      </c>
      <c r="T43" s="275">
        <f t="shared" si="14"/>
        <v>0</v>
      </c>
      <c r="U43" s="280">
        <v>0</v>
      </c>
      <c r="V43" s="281">
        <f t="shared" si="11"/>
        <v>0</v>
      </c>
      <c r="W43" s="282">
        <f t="shared" si="23"/>
        <v>0</v>
      </c>
      <c r="X43" s="279">
        <f t="shared" si="12"/>
        <v>0</v>
      </c>
      <c r="Y43" s="284">
        <f t="shared" si="24"/>
        <v>0</v>
      </c>
      <c r="Z43" s="180">
        <v>4269</v>
      </c>
      <c r="AB43" s="34"/>
      <c r="AC43" s="184"/>
      <c r="AD43" s="185"/>
      <c r="AE43" s="185"/>
      <c r="AF43" s="185"/>
      <c r="AG43" s="185"/>
      <c r="AH43" s="185"/>
      <c r="AI43" s="186"/>
    </row>
    <row r="44" spans="1:35" ht="18.75" x14ac:dyDescent="0.25">
      <c r="A44" s="25" t="str">
        <f t="shared" si="2"/>
        <v/>
      </c>
      <c r="B44" s="269">
        <f t="shared" si="17"/>
        <v>9</v>
      </c>
      <c r="C44" s="270">
        <f t="shared" si="18"/>
        <v>3781</v>
      </c>
      <c r="D44" s="271">
        <f t="shared" si="3"/>
        <v>0</v>
      </c>
      <c r="E44" s="272">
        <f>IFERROR(IF(C43+D44&gt;=F44+((SUM($F$36:$F43)-ABS(SUM($E$36:$E43)))),-F44-((SUM($F$36:$F43)-ABS(SUM($E$36:$E43)))),-C43-D44),0)</f>
        <v>-488</v>
      </c>
      <c r="F44" s="273">
        <v>488</v>
      </c>
      <c r="G44" s="273">
        <f>Produtos!E10</f>
        <v>488</v>
      </c>
      <c r="H44" s="272">
        <f t="shared" si="4"/>
        <v>0</v>
      </c>
      <c r="I44" s="274">
        <f t="shared" si="19"/>
        <v>13.635642936419851</v>
      </c>
      <c r="J44" s="275">
        <f t="shared" si="20"/>
        <v>51556.365942603457</v>
      </c>
      <c r="K44" s="274">
        <f t="shared" si="21"/>
        <v>0</v>
      </c>
      <c r="L44" s="274">
        <f t="shared" si="6"/>
        <v>0</v>
      </c>
      <c r="M44" s="274">
        <f t="shared" si="7"/>
        <v>0</v>
      </c>
      <c r="N44" s="274">
        <f t="shared" si="8"/>
        <v>6100</v>
      </c>
      <c r="O44" s="276">
        <f t="shared" si="22"/>
        <v>-25762.5</v>
      </c>
      <c r="P44" s="277">
        <v>0</v>
      </c>
      <c r="Q44" s="271">
        <f t="shared" si="9"/>
        <v>0</v>
      </c>
      <c r="R44" s="278">
        <f t="shared" si="13"/>
        <v>0</v>
      </c>
      <c r="S44" s="279">
        <f t="shared" si="10"/>
        <v>0</v>
      </c>
      <c r="T44" s="275">
        <f t="shared" si="14"/>
        <v>0</v>
      </c>
      <c r="U44" s="280">
        <v>0</v>
      </c>
      <c r="V44" s="281">
        <f t="shared" si="11"/>
        <v>0</v>
      </c>
      <c r="W44" s="282">
        <f t="shared" si="23"/>
        <v>0</v>
      </c>
      <c r="X44" s="279">
        <f t="shared" si="12"/>
        <v>0</v>
      </c>
      <c r="Y44" s="284">
        <f t="shared" si="24"/>
        <v>0</v>
      </c>
      <c r="Z44" s="180">
        <v>3781</v>
      </c>
      <c r="AA44" s="35"/>
      <c r="AB44" s="35"/>
      <c r="AC44" s="184"/>
      <c r="AD44" s="185"/>
      <c r="AE44" s="185"/>
      <c r="AF44" s="185"/>
      <c r="AG44" s="185"/>
      <c r="AH44" s="185"/>
      <c r="AI44" s="186"/>
    </row>
    <row r="45" spans="1:35" ht="18.75" x14ac:dyDescent="0.25">
      <c r="A45" s="25" t="str">
        <f t="shared" si="2"/>
        <v/>
      </c>
      <c r="B45" s="269">
        <f t="shared" si="17"/>
        <v>10</v>
      </c>
      <c r="C45" s="270">
        <f t="shared" si="18"/>
        <v>3209</v>
      </c>
      <c r="D45" s="271">
        <f t="shared" si="3"/>
        <v>0</v>
      </c>
      <c r="E45" s="272">
        <f>IFERROR(IF(C44+D45&gt;=F45+((SUM($F$36:$F44)-ABS(SUM($E$36:$E44)))),-F45-((SUM($F$36:$F44)-ABS(SUM($E$36:$E44)))),-C44-D45),0)</f>
        <v>-572</v>
      </c>
      <c r="F45" s="273">
        <v>572</v>
      </c>
      <c r="G45" s="273">
        <f>Produtos!E11</f>
        <v>572</v>
      </c>
      <c r="H45" s="272">
        <f t="shared" si="4"/>
        <v>0</v>
      </c>
      <c r="I45" s="274">
        <f t="shared" si="19"/>
        <v>13.635642936419851</v>
      </c>
      <c r="J45" s="275">
        <f t="shared" si="20"/>
        <v>43756.778182971299</v>
      </c>
      <c r="K45" s="274">
        <f t="shared" si="21"/>
        <v>0</v>
      </c>
      <c r="L45" s="274">
        <f t="shared" si="6"/>
        <v>0</v>
      </c>
      <c r="M45" s="274">
        <f t="shared" si="7"/>
        <v>0</v>
      </c>
      <c r="N45" s="274">
        <f t="shared" si="8"/>
        <v>7150</v>
      </c>
      <c r="O45" s="276">
        <f t="shared" si="22"/>
        <v>-18612.5</v>
      </c>
      <c r="P45" s="277">
        <v>0</v>
      </c>
      <c r="Q45" s="271">
        <f t="shared" si="9"/>
        <v>0</v>
      </c>
      <c r="R45" s="278">
        <f t="shared" si="13"/>
        <v>0</v>
      </c>
      <c r="S45" s="279">
        <f t="shared" si="10"/>
        <v>0</v>
      </c>
      <c r="T45" s="275">
        <f t="shared" si="14"/>
        <v>0</v>
      </c>
      <c r="U45" s="280">
        <v>0</v>
      </c>
      <c r="V45" s="281">
        <f t="shared" si="11"/>
        <v>0</v>
      </c>
      <c r="W45" s="282">
        <f t="shared" si="23"/>
        <v>0</v>
      </c>
      <c r="X45" s="279">
        <f t="shared" si="12"/>
        <v>0</v>
      </c>
      <c r="Y45" s="284">
        <f t="shared" si="24"/>
        <v>0</v>
      </c>
      <c r="Z45" s="180">
        <v>3209</v>
      </c>
      <c r="AB45" s="34"/>
      <c r="AC45" s="184"/>
      <c r="AD45" s="185"/>
      <c r="AE45" s="185"/>
      <c r="AF45" s="185"/>
      <c r="AG45" s="185"/>
      <c r="AH45" s="185"/>
      <c r="AI45" s="186"/>
    </row>
    <row r="46" spans="1:35" ht="18.75" x14ac:dyDescent="0.25">
      <c r="A46" s="25" t="str">
        <f t="shared" si="2"/>
        <v/>
      </c>
      <c r="B46" s="269">
        <f t="shared" si="17"/>
        <v>11</v>
      </c>
      <c r="C46" s="270">
        <f t="shared" si="18"/>
        <v>2721</v>
      </c>
      <c r="D46" s="271">
        <f t="shared" si="3"/>
        <v>0</v>
      </c>
      <c r="E46" s="272">
        <f>IFERROR(IF(C45+D46&gt;=F46+((SUM($F$36:$F45)-ABS(SUM($E$36:$E45)))),-F46-((SUM($F$36:$F45)-ABS(SUM($E$36:$E45)))),-C45-D46),0)</f>
        <v>-488</v>
      </c>
      <c r="F46" s="273">
        <v>488</v>
      </c>
      <c r="G46" s="273">
        <f>Produtos!E12</f>
        <v>488</v>
      </c>
      <c r="H46" s="272">
        <f t="shared" si="4"/>
        <v>0</v>
      </c>
      <c r="I46" s="274">
        <f t="shared" si="19"/>
        <v>13.635642936419851</v>
      </c>
      <c r="J46" s="275">
        <f t="shared" si="20"/>
        <v>37102.584429998416</v>
      </c>
      <c r="K46" s="274">
        <f t="shared" si="21"/>
        <v>0</v>
      </c>
      <c r="L46" s="274">
        <f t="shared" si="6"/>
        <v>0</v>
      </c>
      <c r="M46" s="274">
        <f t="shared" si="7"/>
        <v>0</v>
      </c>
      <c r="N46" s="274">
        <f t="shared" si="8"/>
        <v>6100</v>
      </c>
      <c r="O46" s="276">
        <f t="shared" si="22"/>
        <v>-12512.5</v>
      </c>
      <c r="P46" s="277">
        <v>0</v>
      </c>
      <c r="Q46" s="271">
        <f t="shared" si="9"/>
        <v>0</v>
      </c>
      <c r="R46" s="278">
        <f t="shared" si="13"/>
        <v>0</v>
      </c>
      <c r="S46" s="279">
        <f t="shared" si="10"/>
        <v>0</v>
      </c>
      <c r="T46" s="275">
        <f t="shared" si="14"/>
        <v>0</v>
      </c>
      <c r="U46" s="280">
        <v>0</v>
      </c>
      <c r="V46" s="281">
        <f t="shared" si="11"/>
        <v>0</v>
      </c>
      <c r="W46" s="282">
        <f t="shared" si="23"/>
        <v>0</v>
      </c>
      <c r="X46" s="279">
        <f t="shared" si="12"/>
        <v>0</v>
      </c>
      <c r="Y46" s="284">
        <f t="shared" si="24"/>
        <v>0</v>
      </c>
      <c r="Z46" s="180">
        <v>2721</v>
      </c>
      <c r="AA46" s="35"/>
      <c r="AB46" s="34"/>
      <c r="AC46" s="184"/>
      <c r="AD46" s="185"/>
      <c r="AE46" s="185"/>
      <c r="AF46" s="185"/>
      <c r="AG46" s="185"/>
      <c r="AH46" s="185"/>
      <c r="AI46" s="186"/>
    </row>
    <row r="47" spans="1:35" ht="18.75" x14ac:dyDescent="0.25">
      <c r="A47" s="25" t="str">
        <f t="shared" si="2"/>
        <v/>
      </c>
      <c r="B47" s="269">
        <f t="shared" si="17"/>
        <v>12</v>
      </c>
      <c r="C47" s="270">
        <f t="shared" si="18"/>
        <v>8196</v>
      </c>
      <c r="D47" s="271">
        <f t="shared" si="3"/>
        <v>8300</v>
      </c>
      <c r="E47" s="272">
        <f>IFERROR(IF(C46+D47&gt;=F47+((SUM($F$36:$F46)-ABS(SUM($E$36:$E46)))),-F47-((SUM($F$36:$F46)-ABS(SUM($E$36:$E46)))),-C46-D47),0)</f>
        <v>-2825</v>
      </c>
      <c r="F47" s="273">
        <v>2825</v>
      </c>
      <c r="G47" s="273">
        <f>Produtos!E13</f>
        <v>2825</v>
      </c>
      <c r="H47" s="272">
        <f t="shared" si="4"/>
        <v>0</v>
      </c>
      <c r="I47" s="274">
        <f t="shared" si="19"/>
        <v>14.653804835285312</v>
      </c>
      <c r="J47" s="275">
        <f t="shared" si="20"/>
        <v>120102.58442999842</v>
      </c>
      <c r="K47" s="274">
        <f t="shared" si="21"/>
        <v>83000</v>
      </c>
      <c r="L47" s="274">
        <f t="shared" si="6"/>
        <v>83000</v>
      </c>
      <c r="M47" s="274">
        <f t="shared" si="7"/>
        <v>0</v>
      </c>
      <c r="N47" s="274">
        <f t="shared" si="8"/>
        <v>35312.5</v>
      </c>
      <c r="O47" s="276">
        <f t="shared" si="22"/>
        <v>-60200</v>
      </c>
      <c r="P47" s="277">
        <v>2300</v>
      </c>
      <c r="Q47" s="271">
        <f t="shared" si="9"/>
        <v>17</v>
      </c>
      <c r="R47" s="278">
        <f t="shared" si="13"/>
        <v>2300</v>
      </c>
      <c r="S47" s="279">
        <f t="shared" si="10"/>
        <v>10</v>
      </c>
      <c r="T47" s="275">
        <f t="shared" si="14"/>
        <v>23000</v>
      </c>
      <c r="U47" s="280">
        <v>0</v>
      </c>
      <c r="V47" s="281">
        <f t="shared" si="11"/>
        <v>0</v>
      </c>
      <c r="W47" s="282">
        <f t="shared" si="23"/>
        <v>0</v>
      </c>
      <c r="X47" s="279">
        <f t="shared" si="12"/>
        <v>0</v>
      </c>
      <c r="Y47" s="284">
        <f t="shared" si="24"/>
        <v>0</v>
      </c>
      <c r="Z47" s="180">
        <v>8196</v>
      </c>
      <c r="AA47" s="35"/>
      <c r="AC47" s="184"/>
      <c r="AD47" s="185"/>
      <c r="AE47" s="185"/>
      <c r="AF47" s="185"/>
      <c r="AG47" s="185"/>
      <c r="AH47" s="185"/>
      <c r="AI47" s="186"/>
    </row>
    <row r="48" spans="1:35" ht="18.75" x14ac:dyDescent="0.25">
      <c r="A48" s="25" t="str">
        <f t="shared" si="2"/>
        <v/>
      </c>
      <c r="B48" s="269">
        <f t="shared" si="17"/>
        <v>13</v>
      </c>
      <c r="C48" s="270">
        <f t="shared" si="18"/>
        <v>7752</v>
      </c>
      <c r="D48" s="271">
        <f t="shared" si="3"/>
        <v>0</v>
      </c>
      <c r="E48" s="272">
        <f>IFERROR(IF(C47+D48&gt;=F48+((SUM($F$36:$F47)-ABS(SUM($E$36:$E47)))),-F48-((SUM($F$36:$F47)-ABS(SUM($E$36:$E47)))),-C47-D48),0)</f>
        <v>-444</v>
      </c>
      <c r="F48" s="273">
        <v>444</v>
      </c>
      <c r="G48" s="273">
        <f>Produtos!E14</f>
        <v>444</v>
      </c>
      <c r="H48" s="272">
        <f t="shared" si="4"/>
        <v>0</v>
      </c>
      <c r="I48" s="274">
        <f t="shared" si="19"/>
        <v>14.653804835285312</v>
      </c>
      <c r="J48" s="275">
        <f t="shared" si="20"/>
        <v>113596.29508313174</v>
      </c>
      <c r="K48" s="274">
        <f t="shared" si="21"/>
        <v>0</v>
      </c>
      <c r="L48" s="274">
        <f t="shared" si="6"/>
        <v>0</v>
      </c>
      <c r="M48" s="274">
        <f t="shared" si="7"/>
        <v>0</v>
      </c>
      <c r="N48" s="274">
        <f t="shared" si="8"/>
        <v>5550</v>
      </c>
      <c r="O48" s="276">
        <f t="shared" si="22"/>
        <v>-54650</v>
      </c>
      <c r="P48" s="277">
        <v>0</v>
      </c>
      <c r="Q48" s="271">
        <f t="shared" si="9"/>
        <v>0</v>
      </c>
      <c r="R48" s="278">
        <f t="shared" si="13"/>
        <v>0</v>
      </c>
      <c r="S48" s="279">
        <f t="shared" si="10"/>
        <v>0</v>
      </c>
      <c r="T48" s="275">
        <f t="shared" si="14"/>
        <v>0</v>
      </c>
      <c r="U48" s="280">
        <v>0</v>
      </c>
      <c r="V48" s="281">
        <f t="shared" si="11"/>
        <v>0</v>
      </c>
      <c r="W48" s="282">
        <f t="shared" si="23"/>
        <v>0</v>
      </c>
      <c r="X48" s="279">
        <f t="shared" si="12"/>
        <v>0</v>
      </c>
      <c r="Y48" s="284">
        <f t="shared" si="24"/>
        <v>0</v>
      </c>
      <c r="Z48" s="180">
        <v>7752</v>
      </c>
      <c r="AB48" s="34"/>
      <c r="AC48" s="184"/>
      <c r="AD48" s="185"/>
      <c r="AE48" s="185"/>
      <c r="AF48" s="185"/>
      <c r="AG48" s="185"/>
      <c r="AH48" s="185"/>
      <c r="AI48" s="186"/>
    </row>
    <row r="49" spans="1:35" ht="18.75" x14ac:dyDescent="0.25">
      <c r="A49" s="25" t="str">
        <f t="shared" si="2"/>
        <v/>
      </c>
      <c r="B49" s="269">
        <f t="shared" si="17"/>
        <v>14</v>
      </c>
      <c r="C49" s="270">
        <f t="shared" si="18"/>
        <v>5155</v>
      </c>
      <c r="D49" s="271">
        <f t="shared" si="3"/>
        <v>0</v>
      </c>
      <c r="E49" s="272">
        <f>IFERROR(IF(C48+D49&gt;=F49+((SUM($F$36:$F48)-ABS(SUM($E$36:$E48)))),-F49-((SUM($F$36:$F48)-ABS(SUM($E$36:$E48)))),-C48-D49),0)</f>
        <v>-2597</v>
      </c>
      <c r="F49" s="273">
        <v>2597</v>
      </c>
      <c r="G49" s="273">
        <f>Produtos!E15</f>
        <v>2597</v>
      </c>
      <c r="H49" s="272">
        <f t="shared" si="4"/>
        <v>0</v>
      </c>
      <c r="I49" s="274">
        <f t="shared" si="19"/>
        <v>14.653804835285312</v>
      </c>
      <c r="J49" s="275">
        <f t="shared" si="20"/>
        <v>75540.363925895785</v>
      </c>
      <c r="K49" s="274">
        <f t="shared" si="21"/>
        <v>0</v>
      </c>
      <c r="L49" s="274">
        <f t="shared" si="6"/>
        <v>0</v>
      </c>
      <c r="M49" s="274">
        <f t="shared" si="7"/>
        <v>0</v>
      </c>
      <c r="N49" s="274">
        <f t="shared" si="8"/>
        <v>32462.5</v>
      </c>
      <c r="O49" s="276">
        <f t="shared" si="22"/>
        <v>-22187.5</v>
      </c>
      <c r="P49" s="277">
        <v>0</v>
      </c>
      <c r="Q49" s="271">
        <f t="shared" si="9"/>
        <v>0</v>
      </c>
      <c r="R49" s="278">
        <f t="shared" si="13"/>
        <v>0</v>
      </c>
      <c r="S49" s="279">
        <f t="shared" si="10"/>
        <v>0</v>
      </c>
      <c r="T49" s="275">
        <f t="shared" si="14"/>
        <v>0</v>
      </c>
      <c r="U49" s="280">
        <v>0</v>
      </c>
      <c r="V49" s="281">
        <f t="shared" si="11"/>
        <v>0</v>
      </c>
      <c r="W49" s="282">
        <f t="shared" si="23"/>
        <v>0</v>
      </c>
      <c r="X49" s="279">
        <f t="shared" si="12"/>
        <v>0</v>
      </c>
      <c r="Y49" s="284">
        <f t="shared" si="24"/>
        <v>0</v>
      </c>
      <c r="Z49" s="180">
        <v>5155</v>
      </c>
      <c r="AA49" s="35"/>
      <c r="AB49" s="35"/>
      <c r="AC49" s="184"/>
      <c r="AD49" s="185"/>
      <c r="AE49" s="185"/>
      <c r="AF49" s="185"/>
      <c r="AG49" s="185"/>
      <c r="AH49" s="185"/>
      <c r="AI49" s="186"/>
    </row>
    <row r="50" spans="1:35" ht="18.75" x14ac:dyDescent="0.25">
      <c r="A50" s="25" t="str">
        <f t="shared" si="2"/>
        <v/>
      </c>
      <c r="B50" s="269">
        <f t="shared" si="17"/>
        <v>15</v>
      </c>
      <c r="C50" s="270">
        <f t="shared" si="18"/>
        <v>4267</v>
      </c>
      <c r="D50" s="271">
        <f t="shared" si="3"/>
        <v>0</v>
      </c>
      <c r="E50" s="272">
        <f>IFERROR(IF(C49+D50&gt;=F50+((SUM($F$36:$F49)-ABS(SUM($E$36:$E49)))),-F50-((SUM($F$36:$F49)-ABS(SUM($E$36:$E49)))),-C49-D50),0)</f>
        <v>-888</v>
      </c>
      <c r="F50" s="273">
        <v>888</v>
      </c>
      <c r="G50" s="273">
        <f>Produtos!E16</f>
        <v>888</v>
      </c>
      <c r="H50" s="272">
        <f t="shared" si="4"/>
        <v>0</v>
      </c>
      <c r="I50" s="274">
        <f t="shared" si="19"/>
        <v>14.653804835285312</v>
      </c>
      <c r="J50" s="275">
        <f t="shared" si="20"/>
        <v>62527.785232162423</v>
      </c>
      <c r="K50" s="274">
        <f t="shared" si="21"/>
        <v>0</v>
      </c>
      <c r="L50" s="274">
        <f t="shared" si="6"/>
        <v>0</v>
      </c>
      <c r="M50" s="274">
        <f t="shared" si="7"/>
        <v>0</v>
      </c>
      <c r="N50" s="274">
        <f t="shared" si="8"/>
        <v>11100</v>
      </c>
      <c r="O50" s="276">
        <f t="shared" si="22"/>
        <v>-11087.5</v>
      </c>
      <c r="P50" s="277">
        <v>0</v>
      </c>
      <c r="Q50" s="271">
        <f t="shared" si="9"/>
        <v>0</v>
      </c>
      <c r="R50" s="278">
        <f t="shared" si="13"/>
        <v>0</v>
      </c>
      <c r="S50" s="279">
        <f t="shared" si="10"/>
        <v>0</v>
      </c>
      <c r="T50" s="275">
        <f t="shared" si="14"/>
        <v>0</v>
      </c>
      <c r="U50" s="280">
        <v>0</v>
      </c>
      <c r="V50" s="281">
        <f t="shared" si="11"/>
        <v>0</v>
      </c>
      <c r="W50" s="282">
        <f t="shared" si="23"/>
        <v>0</v>
      </c>
      <c r="X50" s="279">
        <f t="shared" si="12"/>
        <v>0</v>
      </c>
      <c r="Y50" s="284">
        <f t="shared" si="24"/>
        <v>0</v>
      </c>
      <c r="Z50" s="180">
        <v>4267</v>
      </c>
      <c r="AB50" s="34"/>
      <c r="AC50" s="184"/>
      <c r="AD50" s="185"/>
      <c r="AE50" s="185"/>
      <c r="AF50" s="185"/>
      <c r="AG50" s="185"/>
      <c r="AH50" s="185"/>
      <c r="AI50" s="186"/>
    </row>
    <row r="51" spans="1:35" ht="18.75" x14ac:dyDescent="0.25">
      <c r="A51" s="25" t="str">
        <f t="shared" si="2"/>
        <v/>
      </c>
      <c r="B51" s="269">
        <f t="shared" si="17"/>
        <v>16</v>
      </c>
      <c r="C51" s="270">
        <f t="shared" si="18"/>
        <v>2813</v>
      </c>
      <c r="D51" s="271">
        <f t="shared" si="3"/>
        <v>0</v>
      </c>
      <c r="E51" s="272">
        <f>IFERROR(IF(C50+D51&gt;=F51+((SUM($F$36:$F50)-ABS(SUM($E$36:$E50)))),-F51-((SUM($F$36:$F50)-ABS(SUM($E$36:$E50)))),-C50-D51),0)</f>
        <v>-1454</v>
      </c>
      <c r="F51" s="273">
        <v>1454</v>
      </c>
      <c r="G51" s="273">
        <f>Produtos!E17</f>
        <v>1454</v>
      </c>
      <c r="H51" s="272">
        <f t="shared" si="4"/>
        <v>0</v>
      </c>
      <c r="I51" s="274">
        <f t="shared" si="19"/>
        <v>14.653804835285312</v>
      </c>
      <c r="J51" s="275">
        <f t="shared" si="20"/>
        <v>41221.153001657585</v>
      </c>
      <c r="K51" s="274">
        <f t="shared" si="21"/>
        <v>0</v>
      </c>
      <c r="L51" s="274">
        <f t="shared" si="6"/>
        <v>0</v>
      </c>
      <c r="M51" s="274">
        <f t="shared" si="7"/>
        <v>0</v>
      </c>
      <c r="N51" s="274">
        <f t="shared" si="8"/>
        <v>18175</v>
      </c>
      <c r="O51" s="276">
        <f t="shared" si="22"/>
        <v>7087.5</v>
      </c>
      <c r="P51" s="277">
        <v>0</v>
      </c>
      <c r="Q51" s="271">
        <f t="shared" si="9"/>
        <v>0</v>
      </c>
      <c r="R51" s="278">
        <f t="shared" si="13"/>
        <v>0</v>
      </c>
      <c r="S51" s="279">
        <f t="shared" si="10"/>
        <v>0</v>
      </c>
      <c r="T51" s="275">
        <f t="shared" si="14"/>
        <v>0</v>
      </c>
      <c r="U51" s="280">
        <v>0</v>
      </c>
      <c r="V51" s="281">
        <f t="shared" si="11"/>
        <v>0</v>
      </c>
      <c r="W51" s="282">
        <f t="shared" si="23"/>
        <v>0</v>
      </c>
      <c r="X51" s="279">
        <f t="shared" si="12"/>
        <v>0</v>
      </c>
      <c r="Y51" s="284">
        <f t="shared" si="24"/>
        <v>0</v>
      </c>
      <c r="Z51" s="180">
        <v>2813</v>
      </c>
      <c r="AB51" s="34"/>
      <c r="AC51" s="184"/>
      <c r="AD51" s="185"/>
      <c r="AE51" s="185"/>
      <c r="AF51" s="185"/>
      <c r="AG51" s="185"/>
      <c r="AH51" s="185"/>
      <c r="AI51" s="186"/>
    </row>
    <row r="52" spans="1:35" ht="18.75" x14ac:dyDescent="0.25">
      <c r="A52" s="25" t="str">
        <f t="shared" si="2"/>
        <v/>
      </c>
      <c r="B52" s="269">
        <f t="shared" si="17"/>
        <v>17</v>
      </c>
      <c r="C52" s="270">
        <f t="shared" si="18"/>
        <v>4893</v>
      </c>
      <c r="D52" s="271">
        <f t="shared" si="3"/>
        <v>2300</v>
      </c>
      <c r="E52" s="272">
        <f>IFERROR(IF(C51+D52&gt;=F52+((SUM($F$36:$F51)-ABS(SUM($E$36:$E51)))),-F52-((SUM($F$36:$F51)-ABS(SUM($E$36:$E51)))),-C51-D52),0)</f>
        <v>-220</v>
      </c>
      <c r="F52" s="273">
        <v>220</v>
      </c>
      <c r="G52" s="273">
        <f>Produtos!E18</f>
        <v>220</v>
      </c>
      <c r="H52" s="272">
        <f t="shared" si="4"/>
        <v>0</v>
      </c>
      <c r="I52" s="274">
        <f t="shared" si="19"/>
        <v>13.12510790959689</v>
      </c>
      <c r="J52" s="275">
        <f t="shared" si="20"/>
        <v>64221.153001657585</v>
      </c>
      <c r="K52" s="274">
        <f t="shared" si="21"/>
        <v>23000</v>
      </c>
      <c r="L52" s="274">
        <f t="shared" si="6"/>
        <v>23000</v>
      </c>
      <c r="M52" s="274">
        <f t="shared" si="7"/>
        <v>0</v>
      </c>
      <c r="N52" s="274">
        <f t="shared" si="8"/>
        <v>2750</v>
      </c>
      <c r="O52" s="276">
        <f t="shared" si="22"/>
        <v>-13162.5</v>
      </c>
      <c r="P52" s="277">
        <v>7600</v>
      </c>
      <c r="Q52" s="271">
        <f t="shared" si="9"/>
        <v>22</v>
      </c>
      <c r="R52" s="278">
        <f t="shared" si="13"/>
        <v>7600</v>
      </c>
      <c r="S52" s="279">
        <f t="shared" si="10"/>
        <v>10</v>
      </c>
      <c r="T52" s="275">
        <f t="shared" si="14"/>
        <v>76000</v>
      </c>
      <c r="U52" s="280">
        <v>0</v>
      </c>
      <c r="V52" s="281">
        <f t="shared" si="11"/>
        <v>0</v>
      </c>
      <c r="W52" s="282">
        <f t="shared" si="23"/>
        <v>0</v>
      </c>
      <c r="X52" s="279">
        <f t="shared" si="12"/>
        <v>0</v>
      </c>
      <c r="Y52" s="284">
        <f t="shared" si="24"/>
        <v>0</v>
      </c>
      <c r="Z52" s="180">
        <v>4893</v>
      </c>
      <c r="AA52" s="35"/>
      <c r="AC52" s="184"/>
      <c r="AD52" s="185"/>
      <c r="AE52" s="185"/>
      <c r="AF52" s="185"/>
      <c r="AG52" s="185"/>
      <c r="AH52" s="185"/>
      <c r="AI52" s="186"/>
    </row>
    <row r="53" spans="1:35" ht="18.75" x14ac:dyDescent="0.25">
      <c r="A53" s="25" t="str">
        <f t="shared" si="2"/>
        <v/>
      </c>
      <c r="B53" s="269">
        <f t="shared" si="17"/>
        <v>18</v>
      </c>
      <c r="C53" s="270">
        <f t="shared" si="18"/>
        <v>4605</v>
      </c>
      <c r="D53" s="271">
        <f t="shared" si="3"/>
        <v>0</v>
      </c>
      <c r="E53" s="272">
        <f>IFERROR(IF(C52+D53&gt;=F53+((SUM($F$36:$F52)-ABS(SUM($E$36:$E52)))),-F53-((SUM($F$36:$F52)-ABS(SUM($E$36:$E52)))),-C52-D53),0)</f>
        <v>-288</v>
      </c>
      <c r="F53" s="273">
        <v>288</v>
      </c>
      <c r="G53" s="273">
        <f>Produtos!E19</f>
        <v>288</v>
      </c>
      <c r="H53" s="272">
        <f t="shared" si="4"/>
        <v>0</v>
      </c>
      <c r="I53" s="274">
        <f t="shared" si="19"/>
        <v>13.12510790959689</v>
      </c>
      <c r="J53" s="275">
        <f t="shared" si="20"/>
        <v>60441.121923693681</v>
      </c>
      <c r="K53" s="274">
        <f t="shared" si="21"/>
        <v>0</v>
      </c>
      <c r="L53" s="274">
        <f t="shared" si="6"/>
        <v>0</v>
      </c>
      <c r="M53" s="274">
        <f t="shared" si="7"/>
        <v>0</v>
      </c>
      <c r="N53" s="274">
        <f t="shared" si="8"/>
        <v>3600</v>
      </c>
      <c r="O53" s="276">
        <f t="shared" si="22"/>
        <v>-9562.5</v>
      </c>
      <c r="P53" s="277">
        <v>0</v>
      </c>
      <c r="Q53" s="271">
        <f t="shared" si="9"/>
        <v>0</v>
      </c>
      <c r="R53" s="278">
        <f t="shared" si="13"/>
        <v>0</v>
      </c>
      <c r="S53" s="279">
        <f t="shared" si="10"/>
        <v>0</v>
      </c>
      <c r="T53" s="275">
        <f t="shared" si="14"/>
        <v>0</v>
      </c>
      <c r="U53" s="280">
        <v>0</v>
      </c>
      <c r="V53" s="281">
        <f t="shared" si="11"/>
        <v>0</v>
      </c>
      <c r="W53" s="282">
        <f t="shared" si="23"/>
        <v>0</v>
      </c>
      <c r="X53" s="279">
        <f t="shared" si="12"/>
        <v>0</v>
      </c>
      <c r="Y53" s="284">
        <f t="shared" si="24"/>
        <v>0</v>
      </c>
      <c r="Z53" s="180">
        <v>4605</v>
      </c>
      <c r="AB53" s="34"/>
      <c r="AC53" s="184"/>
      <c r="AD53" s="185"/>
      <c r="AE53" s="185"/>
      <c r="AF53" s="185"/>
      <c r="AG53" s="185"/>
      <c r="AH53" s="185"/>
      <c r="AI53" s="186"/>
    </row>
    <row r="54" spans="1:35" ht="18.75" x14ac:dyDescent="0.25">
      <c r="A54" s="25" t="str">
        <f t="shared" si="2"/>
        <v/>
      </c>
      <c r="B54" s="269">
        <f t="shared" si="17"/>
        <v>19</v>
      </c>
      <c r="C54" s="270">
        <f t="shared" si="18"/>
        <v>4129</v>
      </c>
      <c r="D54" s="271">
        <f t="shared" si="3"/>
        <v>0</v>
      </c>
      <c r="E54" s="272">
        <f>IFERROR(IF(C53+D54&gt;=F54+((SUM($F$36:$F53)-ABS(SUM($E$36:$E53)))),-F54-((SUM($F$36:$F53)-ABS(SUM($E$36:$E53)))),-C53-D54),0)</f>
        <v>-476</v>
      </c>
      <c r="F54" s="273">
        <v>476</v>
      </c>
      <c r="G54" s="273">
        <f>Produtos!E20</f>
        <v>476</v>
      </c>
      <c r="H54" s="272">
        <f>IF(-(F54+E54)&lt;=0,-(F54+E54),0)</f>
        <v>0</v>
      </c>
      <c r="I54" s="274">
        <f t="shared" si="19"/>
        <v>13.12510790959689</v>
      </c>
      <c r="J54" s="275">
        <f t="shared" si="20"/>
        <v>54193.570558725558</v>
      </c>
      <c r="K54" s="274">
        <f t="shared" si="21"/>
        <v>0</v>
      </c>
      <c r="L54" s="274">
        <f t="shared" si="6"/>
        <v>0</v>
      </c>
      <c r="M54" s="274">
        <f t="shared" si="7"/>
        <v>0</v>
      </c>
      <c r="N54" s="274">
        <f t="shared" si="8"/>
        <v>5950</v>
      </c>
      <c r="O54" s="276">
        <f t="shared" si="22"/>
        <v>-3612.5</v>
      </c>
      <c r="P54" s="277">
        <v>0</v>
      </c>
      <c r="Q54" s="271">
        <f t="shared" si="9"/>
        <v>0</v>
      </c>
      <c r="R54" s="278">
        <f t="shared" si="13"/>
        <v>0</v>
      </c>
      <c r="S54" s="279">
        <f t="shared" si="10"/>
        <v>0</v>
      </c>
      <c r="T54" s="275">
        <f t="shared" si="14"/>
        <v>0</v>
      </c>
      <c r="U54" s="280">
        <v>0</v>
      </c>
      <c r="V54" s="281">
        <f t="shared" si="11"/>
        <v>0</v>
      </c>
      <c r="W54" s="282">
        <f t="shared" si="23"/>
        <v>0</v>
      </c>
      <c r="X54" s="279">
        <f t="shared" si="12"/>
        <v>0</v>
      </c>
      <c r="Y54" s="284">
        <f t="shared" si="24"/>
        <v>0</v>
      </c>
      <c r="Z54" s="180">
        <v>4129</v>
      </c>
      <c r="AA54" s="35"/>
      <c r="AB54" s="35"/>
      <c r="AC54" s="184"/>
      <c r="AD54" s="185"/>
      <c r="AE54" s="185"/>
      <c r="AF54" s="185"/>
      <c r="AG54" s="185"/>
      <c r="AH54" s="185"/>
      <c r="AI54" s="186"/>
    </row>
    <row r="55" spans="1:35" ht="18.75" x14ac:dyDescent="0.25">
      <c r="A55" s="25" t="str">
        <f t="shared" si="2"/>
        <v/>
      </c>
      <c r="B55" s="269">
        <f t="shared" si="17"/>
        <v>20</v>
      </c>
      <c r="C55" s="270">
        <f t="shared" si="18"/>
        <v>3385</v>
      </c>
      <c r="D55" s="271">
        <f t="shared" si="3"/>
        <v>0</v>
      </c>
      <c r="E55" s="272">
        <f>IFERROR(IF(C54+D55&gt;=F55+((SUM($F$36:$F54)-ABS(SUM($E$36:$E54)))),-F55-((SUM($F$36:$F54)-ABS(SUM($E$36:$E54)))),-C54-D55),0)</f>
        <v>-744</v>
      </c>
      <c r="F55" s="273">
        <v>744</v>
      </c>
      <c r="G55" s="273">
        <f>Produtos!E21</f>
        <v>744</v>
      </c>
      <c r="H55" s="272">
        <f t="shared" ref="H55:H95" si="25">IF(-(F55+E55)&lt;=0,-(F55+E55),0)</f>
        <v>0</v>
      </c>
      <c r="I55" s="274">
        <f t="shared" si="19"/>
        <v>13.12510790959689</v>
      </c>
      <c r="J55" s="275">
        <f t="shared" si="20"/>
        <v>44428.490273985473</v>
      </c>
      <c r="K55" s="274">
        <f t="shared" si="21"/>
        <v>0</v>
      </c>
      <c r="L55" s="274">
        <f t="shared" si="6"/>
        <v>0</v>
      </c>
      <c r="M55" s="274">
        <f t="shared" si="7"/>
        <v>0</v>
      </c>
      <c r="N55" s="274">
        <f t="shared" si="8"/>
        <v>9300</v>
      </c>
      <c r="O55" s="276">
        <f t="shared" si="22"/>
        <v>5687.5</v>
      </c>
      <c r="P55" s="277">
        <v>0</v>
      </c>
      <c r="Q55" s="271">
        <f t="shared" si="9"/>
        <v>0</v>
      </c>
      <c r="R55" s="278">
        <f t="shared" si="13"/>
        <v>0</v>
      </c>
      <c r="S55" s="279">
        <f t="shared" si="10"/>
        <v>0</v>
      </c>
      <c r="T55" s="275">
        <f t="shared" si="14"/>
        <v>0</v>
      </c>
      <c r="U55" s="280">
        <v>0</v>
      </c>
      <c r="V55" s="281">
        <f t="shared" si="11"/>
        <v>0</v>
      </c>
      <c r="W55" s="282">
        <f t="shared" si="23"/>
        <v>0</v>
      </c>
      <c r="X55" s="279">
        <f t="shared" si="12"/>
        <v>0</v>
      </c>
      <c r="Y55" s="284">
        <f t="shared" si="24"/>
        <v>0</v>
      </c>
      <c r="Z55" s="180">
        <v>3385</v>
      </c>
      <c r="AB55" s="34"/>
      <c r="AC55" s="184"/>
      <c r="AD55" s="185"/>
      <c r="AE55" s="185"/>
      <c r="AF55" s="185"/>
      <c r="AG55" s="185"/>
      <c r="AH55" s="185"/>
      <c r="AI55" s="186"/>
    </row>
    <row r="56" spans="1:35" ht="18.75" x14ac:dyDescent="0.25">
      <c r="A56" s="25" t="str">
        <f t="shared" si="2"/>
        <v/>
      </c>
      <c r="B56" s="269">
        <f t="shared" si="17"/>
        <v>21</v>
      </c>
      <c r="C56" s="270">
        <f t="shared" si="18"/>
        <v>2909</v>
      </c>
      <c r="D56" s="271">
        <f t="shared" si="3"/>
        <v>0</v>
      </c>
      <c r="E56" s="272">
        <f>IFERROR(IF(C55+D56&gt;=F56+((SUM($F$36:$F55)-ABS(SUM($E$36:$E55)))),-F56-((SUM($F$36:$F55)-ABS(SUM($E$36:$E55)))),-C55-D56),0)</f>
        <v>-476</v>
      </c>
      <c r="F56" s="273">
        <v>476</v>
      </c>
      <c r="G56" s="273">
        <f>Produtos!E22</f>
        <v>476</v>
      </c>
      <c r="H56" s="272">
        <f t="shared" si="25"/>
        <v>0</v>
      </c>
      <c r="I56" s="274">
        <f t="shared" si="19"/>
        <v>13.12510790959689</v>
      </c>
      <c r="J56" s="275">
        <f t="shared" si="20"/>
        <v>38180.93890901735</v>
      </c>
      <c r="K56" s="274">
        <f t="shared" si="21"/>
        <v>0</v>
      </c>
      <c r="L56" s="274">
        <f t="shared" si="6"/>
        <v>0</v>
      </c>
      <c r="M56" s="274">
        <f t="shared" si="7"/>
        <v>0</v>
      </c>
      <c r="N56" s="274">
        <f t="shared" si="8"/>
        <v>5950</v>
      </c>
      <c r="O56" s="276">
        <f t="shared" si="22"/>
        <v>11637.5</v>
      </c>
      <c r="P56" s="277">
        <v>0</v>
      </c>
      <c r="Q56" s="271">
        <f t="shared" si="9"/>
        <v>0</v>
      </c>
      <c r="R56" s="278">
        <f t="shared" si="13"/>
        <v>0</v>
      </c>
      <c r="S56" s="279">
        <f t="shared" si="10"/>
        <v>0</v>
      </c>
      <c r="T56" s="275">
        <f t="shared" si="14"/>
        <v>0</v>
      </c>
      <c r="U56" s="280">
        <v>0</v>
      </c>
      <c r="V56" s="281">
        <f t="shared" si="11"/>
        <v>0</v>
      </c>
      <c r="W56" s="282">
        <f t="shared" si="23"/>
        <v>0</v>
      </c>
      <c r="X56" s="279">
        <f t="shared" si="12"/>
        <v>0</v>
      </c>
      <c r="Y56" s="284">
        <f t="shared" si="24"/>
        <v>0</v>
      </c>
      <c r="Z56" s="180">
        <v>2909</v>
      </c>
      <c r="AB56" s="34"/>
      <c r="AC56" s="184"/>
      <c r="AD56" s="185"/>
      <c r="AE56" s="185"/>
      <c r="AF56" s="185"/>
      <c r="AG56" s="185"/>
      <c r="AH56" s="185"/>
      <c r="AI56" s="186"/>
    </row>
    <row r="57" spans="1:35" ht="18.75" x14ac:dyDescent="0.25">
      <c r="A57" s="25" t="str">
        <f t="shared" si="2"/>
        <v/>
      </c>
      <c r="B57" s="269">
        <f t="shared" si="17"/>
        <v>22</v>
      </c>
      <c r="C57" s="270">
        <f t="shared" si="18"/>
        <v>9015</v>
      </c>
      <c r="D57" s="271">
        <f t="shared" si="3"/>
        <v>7600</v>
      </c>
      <c r="E57" s="272">
        <f>IFERROR(IF(C56+D57&gt;=F57+((SUM($F$36:$F56)-ABS(SUM($E$36:$E56)))),-F57-((SUM($F$36:$F56)-ABS(SUM($E$36:$E56)))),-C56-D57),0)</f>
        <v>-1494</v>
      </c>
      <c r="F57" s="273">
        <v>1494</v>
      </c>
      <c r="G57" s="273">
        <f>Produtos!E23</f>
        <v>1494</v>
      </c>
      <c r="H57" s="272">
        <f t="shared" si="25"/>
        <v>0</v>
      </c>
      <c r="I57" s="274">
        <f t="shared" si="19"/>
        <v>12.665661553967537</v>
      </c>
      <c r="J57" s="275">
        <f t="shared" si="20"/>
        <v>114180.93890901735</v>
      </c>
      <c r="K57" s="274">
        <f t="shared" si="21"/>
        <v>76000</v>
      </c>
      <c r="L57" s="274">
        <f t="shared" si="6"/>
        <v>76000</v>
      </c>
      <c r="M57" s="274">
        <f t="shared" si="7"/>
        <v>0</v>
      </c>
      <c r="N57" s="274">
        <f t="shared" si="8"/>
        <v>18675</v>
      </c>
      <c r="O57" s="276">
        <f>N57-K57+O56</f>
        <v>-45687.5</v>
      </c>
      <c r="P57" s="277">
        <v>6400</v>
      </c>
      <c r="Q57" s="271">
        <f t="shared" si="9"/>
        <v>27</v>
      </c>
      <c r="R57" s="278">
        <f t="shared" si="13"/>
        <v>6400</v>
      </c>
      <c r="S57" s="279">
        <f t="shared" si="10"/>
        <v>10</v>
      </c>
      <c r="T57" s="275">
        <f t="shared" si="14"/>
        <v>64000</v>
      </c>
      <c r="U57" s="280">
        <v>0</v>
      </c>
      <c r="V57" s="281">
        <f t="shared" si="11"/>
        <v>0</v>
      </c>
      <c r="W57" s="282">
        <f t="shared" si="23"/>
        <v>0</v>
      </c>
      <c r="X57" s="279">
        <f t="shared" si="12"/>
        <v>0</v>
      </c>
      <c r="Y57" s="284">
        <f t="shared" si="24"/>
        <v>0</v>
      </c>
      <c r="Z57" s="180">
        <v>9015</v>
      </c>
      <c r="AA57" s="35"/>
      <c r="AC57" s="184"/>
      <c r="AD57" s="185"/>
      <c r="AE57" s="185"/>
      <c r="AF57" s="185"/>
      <c r="AG57" s="185"/>
      <c r="AH57" s="185"/>
      <c r="AI57" s="186"/>
    </row>
    <row r="58" spans="1:35" ht="18.75" x14ac:dyDescent="0.25">
      <c r="A58" s="25" t="str">
        <f t="shared" si="2"/>
        <v/>
      </c>
      <c r="B58" s="269">
        <f t="shared" si="17"/>
        <v>23</v>
      </c>
      <c r="C58" s="270">
        <f t="shared" si="18"/>
        <v>6791</v>
      </c>
      <c r="D58" s="271">
        <f t="shared" si="3"/>
        <v>0</v>
      </c>
      <c r="E58" s="272">
        <f>IFERROR(IF(C57+D58&gt;=F58+((SUM($F$36:$F57)-ABS(SUM($E$36:$E57)))),-F58-((SUM($F$36:$F57)-ABS(SUM($E$36:$E57)))),-C57-D58),0)</f>
        <v>-2224</v>
      </c>
      <c r="F58" s="273">
        <v>2224</v>
      </c>
      <c r="G58" s="273">
        <f>Produtos!E24</f>
        <v>2224</v>
      </c>
      <c r="H58" s="272">
        <f t="shared" si="25"/>
        <v>0</v>
      </c>
      <c r="I58" s="274">
        <f t="shared" si="19"/>
        <v>12.665661553967537</v>
      </c>
      <c r="J58" s="275">
        <f t="shared" si="20"/>
        <v>86012.507612993548</v>
      </c>
      <c r="K58" s="274">
        <f t="shared" si="21"/>
        <v>0</v>
      </c>
      <c r="L58" s="274">
        <f t="shared" si="6"/>
        <v>0</v>
      </c>
      <c r="M58" s="274">
        <f t="shared" si="7"/>
        <v>0</v>
      </c>
      <c r="N58" s="274">
        <f t="shared" si="8"/>
        <v>27800</v>
      </c>
      <c r="O58" s="276">
        <f t="shared" si="22"/>
        <v>-17887.5</v>
      </c>
      <c r="P58" s="277">
        <v>0</v>
      </c>
      <c r="Q58" s="271">
        <f t="shared" si="9"/>
        <v>0</v>
      </c>
      <c r="R58" s="278">
        <f t="shared" si="13"/>
        <v>0</v>
      </c>
      <c r="S58" s="279">
        <f t="shared" si="10"/>
        <v>0</v>
      </c>
      <c r="T58" s="275">
        <f t="shared" si="14"/>
        <v>0</v>
      </c>
      <c r="U58" s="280">
        <v>0</v>
      </c>
      <c r="V58" s="281">
        <f t="shared" si="11"/>
        <v>0</v>
      </c>
      <c r="W58" s="282">
        <f t="shared" si="23"/>
        <v>0</v>
      </c>
      <c r="X58" s="279">
        <f t="shared" si="12"/>
        <v>0</v>
      </c>
      <c r="Y58" s="284">
        <f t="shared" si="24"/>
        <v>0</v>
      </c>
      <c r="Z58" s="180">
        <v>6791</v>
      </c>
      <c r="AB58" s="34"/>
      <c r="AC58" s="184"/>
      <c r="AD58" s="185"/>
      <c r="AE58" s="185"/>
      <c r="AF58" s="185"/>
      <c r="AG58" s="185"/>
      <c r="AH58" s="185"/>
      <c r="AI58" s="186"/>
    </row>
    <row r="59" spans="1:35" ht="18.75" x14ac:dyDescent="0.25">
      <c r="A59" s="25" t="str">
        <f t="shared" si="2"/>
        <v/>
      </c>
      <c r="B59" s="269">
        <f t="shared" si="17"/>
        <v>24</v>
      </c>
      <c r="C59" s="270">
        <f t="shared" si="18"/>
        <v>6119</v>
      </c>
      <c r="D59" s="271">
        <f t="shared" si="3"/>
        <v>0</v>
      </c>
      <c r="E59" s="272">
        <f>IFERROR(IF(C58+D59&gt;=F59+((SUM($F$36:$F58)-ABS(SUM($E$36:$E58)))),-F59-((SUM($F$36:$F58)-ABS(SUM($E$36:$E58)))),-C58-D59),0)</f>
        <v>-672</v>
      </c>
      <c r="F59" s="273">
        <v>672</v>
      </c>
      <c r="G59" s="273">
        <f>Produtos!E25</f>
        <v>672</v>
      </c>
      <c r="H59" s="272">
        <f t="shared" si="25"/>
        <v>0</v>
      </c>
      <c r="I59" s="274">
        <f t="shared" si="19"/>
        <v>12.665661553967537</v>
      </c>
      <c r="J59" s="275">
        <f t="shared" si="20"/>
        <v>77501.183048727355</v>
      </c>
      <c r="K59" s="274">
        <f t="shared" si="21"/>
        <v>0</v>
      </c>
      <c r="L59" s="274">
        <f t="shared" si="6"/>
        <v>0</v>
      </c>
      <c r="M59" s="274">
        <f t="shared" si="7"/>
        <v>0</v>
      </c>
      <c r="N59" s="274">
        <f t="shared" si="8"/>
        <v>8400</v>
      </c>
      <c r="O59" s="276">
        <f t="shared" si="22"/>
        <v>-9487.5</v>
      </c>
      <c r="P59" s="277">
        <v>0</v>
      </c>
      <c r="Q59" s="271">
        <f t="shared" si="9"/>
        <v>0</v>
      </c>
      <c r="R59" s="278">
        <f t="shared" si="13"/>
        <v>0</v>
      </c>
      <c r="S59" s="279">
        <f t="shared" si="10"/>
        <v>0</v>
      </c>
      <c r="T59" s="275">
        <f t="shared" si="14"/>
        <v>0</v>
      </c>
      <c r="U59" s="280">
        <v>0</v>
      </c>
      <c r="V59" s="281">
        <f t="shared" si="11"/>
        <v>0</v>
      </c>
      <c r="W59" s="282">
        <f t="shared" si="23"/>
        <v>0</v>
      </c>
      <c r="X59" s="279">
        <f t="shared" si="12"/>
        <v>0</v>
      </c>
      <c r="Y59" s="284">
        <f t="shared" si="24"/>
        <v>0</v>
      </c>
      <c r="Z59" s="180">
        <v>6119</v>
      </c>
      <c r="AA59" s="35"/>
      <c r="AB59" s="35"/>
      <c r="AC59" s="184"/>
      <c r="AD59" s="185"/>
      <c r="AE59" s="185"/>
      <c r="AF59" s="185"/>
      <c r="AG59" s="185"/>
      <c r="AH59" s="185"/>
      <c r="AI59" s="186"/>
    </row>
    <row r="60" spans="1:35" ht="18.75" x14ac:dyDescent="0.25">
      <c r="A60" s="25" t="str">
        <f t="shared" si="2"/>
        <v/>
      </c>
      <c r="B60" s="269">
        <f t="shared" si="17"/>
        <v>25</v>
      </c>
      <c r="C60" s="270">
        <f t="shared" si="18"/>
        <v>3197</v>
      </c>
      <c r="D60" s="271">
        <f t="shared" si="3"/>
        <v>0</v>
      </c>
      <c r="E60" s="272">
        <f>IFERROR(IF(C59+D60&gt;=F60+((SUM($F$36:$F59)-ABS(SUM($E$36:$E59)))),-F60-((SUM($F$36:$F59)-ABS(SUM($E$36:$E59)))),-C59-D60),0)</f>
        <v>-2922</v>
      </c>
      <c r="F60" s="273">
        <v>2922</v>
      </c>
      <c r="G60" s="273">
        <f>Produtos!E26</f>
        <v>2922</v>
      </c>
      <c r="H60" s="272">
        <f t="shared" si="25"/>
        <v>0</v>
      </c>
      <c r="I60" s="274">
        <f t="shared" si="19"/>
        <v>12.665661553967537</v>
      </c>
      <c r="J60" s="275">
        <f t="shared" si="20"/>
        <v>40492.119988034217</v>
      </c>
      <c r="K60" s="274">
        <f t="shared" si="21"/>
        <v>0</v>
      </c>
      <c r="L60" s="274">
        <f t="shared" si="6"/>
        <v>0</v>
      </c>
      <c r="M60" s="274">
        <f t="shared" si="7"/>
        <v>0</v>
      </c>
      <c r="N60" s="274">
        <f t="shared" si="8"/>
        <v>36525</v>
      </c>
      <c r="O60" s="276">
        <f t="shared" si="22"/>
        <v>27037.5</v>
      </c>
      <c r="P60" s="277">
        <v>0</v>
      </c>
      <c r="Q60" s="271">
        <f t="shared" si="9"/>
        <v>0</v>
      </c>
      <c r="R60" s="278">
        <f t="shared" si="13"/>
        <v>0</v>
      </c>
      <c r="S60" s="279">
        <f t="shared" si="10"/>
        <v>0</v>
      </c>
      <c r="T60" s="275">
        <f t="shared" si="14"/>
        <v>0</v>
      </c>
      <c r="U60" s="280">
        <v>0</v>
      </c>
      <c r="V60" s="281">
        <f t="shared" si="11"/>
        <v>0</v>
      </c>
      <c r="W60" s="282">
        <f t="shared" si="23"/>
        <v>0</v>
      </c>
      <c r="X60" s="279">
        <f t="shared" si="12"/>
        <v>0</v>
      </c>
      <c r="Y60" s="284">
        <f t="shared" si="24"/>
        <v>0</v>
      </c>
      <c r="Z60" s="180">
        <v>3197</v>
      </c>
      <c r="AB60" s="34"/>
      <c r="AC60" s="184"/>
      <c r="AD60" s="185"/>
      <c r="AE60" s="185"/>
      <c r="AF60" s="185"/>
      <c r="AG60" s="185"/>
      <c r="AH60" s="185"/>
      <c r="AI60" s="186"/>
    </row>
    <row r="61" spans="1:35" ht="18.75" x14ac:dyDescent="0.25">
      <c r="A61" s="25" t="str">
        <f t="shared" si="2"/>
        <v/>
      </c>
      <c r="B61" s="269">
        <f t="shared" si="17"/>
        <v>26</v>
      </c>
      <c r="C61" s="270">
        <f t="shared" si="18"/>
        <v>2944</v>
      </c>
      <c r="D61" s="271">
        <f t="shared" si="3"/>
        <v>0</v>
      </c>
      <c r="E61" s="272">
        <f>IFERROR(IF(C60+D61&gt;=F61+((SUM($F$36:$F60)-ABS(SUM($E$36:$E60)))),-F61-((SUM($F$36:$F60)-ABS(SUM($E$36:$E60)))),-C60-D61),0)</f>
        <v>-253</v>
      </c>
      <c r="F61" s="273">
        <v>253</v>
      </c>
      <c r="G61" s="273">
        <f>Produtos!E27</f>
        <v>253</v>
      </c>
      <c r="H61" s="272">
        <f t="shared" si="25"/>
        <v>0</v>
      </c>
      <c r="I61" s="274">
        <f t="shared" si="19"/>
        <v>12.665661553967537</v>
      </c>
      <c r="J61" s="275">
        <f t="shared" si="20"/>
        <v>37287.707614880426</v>
      </c>
      <c r="K61" s="274">
        <f t="shared" si="21"/>
        <v>0</v>
      </c>
      <c r="L61" s="274">
        <f t="shared" si="6"/>
        <v>0</v>
      </c>
      <c r="M61" s="274">
        <f t="shared" si="7"/>
        <v>0</v>
      </c>
      <c r="N61" s="274">
        <f t="shared" si="8"/>
        <v>3162.5</v>
      </c>
      <c r="O61" s="276">
        <f t="shared" si="22"/>
        <v>30200</v>
      </c>
      <c r="P61" s="277">
        <v>0</v>
      </c>
      <c r="Q61" s="271">
        <f t="shared" si="9"/>
        <v>0</v>
      </c>
      <c r="R61" s="278">
        <f t="shared" si="13"/>
        <v>0</v>
      </c>
      <c r="S61" s="279">
        <f t="shared" si="10"/>
        <v>0</v>
      </c>
      <c r="T61" s="275">
        <f t="shared" si="14"/>
        <v>0</v>
      </c>
      <c r="U61" s="280">
        <v>0</v>
      </c>
      <c r="V61" s="281">
        <f t="shared" si="11"/>
        <v>0</v>
      </c>
      <c r="W61" s="282">
        <f t="shared" si="23"/>
        <v>0</v>
      </c>
      <c r="X61" s="279">
        <f t="shared" si="12"/>
        <v>0</v>
      </c>
      <c r="Y61" s="284">
        <f t="shared" si="24"/>
        <v>0</v>
      </c>
      <c r="Z61" s="180">
        <v>2944</v>
      </c>
      <c r="AB61" s="34"/>
      <c r="AC61" s="184"/>
      <c r="AD61" s="185"/>
      <c r="AE61" s="185"/>
      <c r="AF61" s="185"/>
      <c r="AG61" s="185"/>
      <c r="AH61" s="185"/>
      <c r="AI61" s="186"/>
    </row>
    <row r="62" spans="1:35" ht="18.75" x14ac:dyDescent="0.25">
      <c r="A62" s="25" t="str">
        <f t="shared" si="2"/>
        <v/>
      </c>
      <c r="B62" s="269">
        <f t="shared" si="17"/>
        <v>27</v>
      </c>
      <c r="C62" s="270">
        <f t="shared" si="18"/>
        <v>7101</v>
      </c>
      <c r="D62" s="271">
        <f t="shared" si="3"/>
        <v>6400</v>
      </c>
      <c r="E62" s="272">
        <f>IFERROR(IF(C61+D62&gt;=F62+((SUM($F$36:$F61)-ABS(SUM($E$36:$E61)))),-F62-((SUM($F$36:$F61)-ABS(SUM($E$36:$E61)))),-C61-D62),0)</f>
        <v>-2243</v>
      </c>
      <c r="F62" s="273">
        <v>2243</v>
      </c>
      <c r="G62" s="273">
        <f>Produtos!E28</f>
        <v>2243</v>
      </c>
      <c r="H62" s="272">
        <f t="shared" si="25"/>
        <v>0</v>
      </c>
      <c r="I62" s="274">
        <f t="shared" si="19"/>
        <v>14.263865316839944</v>
      </c>
      <c r="J62" s="275">
        <f t="shared" si="20"/>
        <v>101287.70761488043</v>
      </c>
      <c r="K62" s="274">
        <f t="shared" si="21"/>
        <v>64000</v>
      </c>
      <c r="L62" s="274">
        <f t="shared" si="6"/>
        <v>64000</v>
      </c>
      <c r="M62" s="274">
        <f t="shared" si="7"/>
        <v>0</v>
      </c>
      <c r="N62" s="274">
        <f t="shared" si="8"/>
        <v>28037.5</v>
      </c>
      <c r="O62" s="276">
        <f t="shared" si="22"/>
        <v>-5762.5</v>
      </c>
      <c r="P62" s="277">
        <v>7700</v>
      </c>
      <c r="Q62" s="271">
        <f t="shared" si="9"/>
        <v>32</v>
      </c>
      <c r="R62" s="278">
        <f t="shared" si="13"/>
        <v>7700</v>
      </c>
      <c r="S62" s="279">
        <f t="shared" si="10"/>
        <v>10</v>
      </c>
      <c r="T62" s="275">
        <f t="shared" si="14"/>
        <v>77000</v>
      </c>
      <c r="U62" s="280">
        <v>0</v>
      </c>
      <c r="V62" s="281">
        <f t="shared" si="11"/>
        <v>0</v>
      </c>
      <c r="W62" s="282">
        <f t="shared" si="23"/>
        <v>0</v>
      </c>
      <c r="X62" s="279">
        <f t="shared" si="12"/>
        <v>0</v>
      </c>
      <c r="Y62" s="284">
        <f t="shared" si="24"/>
        <v>0</v>
      </c>
      <c r="Z62" s="180">
        <v>7101</v>
      </c>
      <c r="AA62" s="35"/>
      <c r="AC62" s="184"/>
      <c r="AD62" s="185"/>
      <c r="AE62" s="185"/>
      <c r="AF62" s="185"/>
      <c r="AG62" s="185"/>
      <c r="AH62" s="185"/>
      <c r="AI62" s="186"/>
    </row>
    <row r="63" spans="1:35" ht="18.75" x14ac:dyDescent="0.25">
      <c r="A63" s="25" t="str">
        <f t="shared" si="2"/>
        <v/>
      </c>
      <c r="B63" s="269">
        <f t="shared" si="17"/>
        <v>28</v>
      </c>
      <c r="C63" s="270">
        <f t="shared" si="18"/>
        <v>6931</v>
      </c>
      <c r="D63" s="271">
        <f t="shared" si="3"/>
        <v>0</v>
      </c>
      <c r="E63" s="272">
        <f>IFERROR(IF(C62+D63&gt;=F63+((SUM($F$36:$F62)-ABS(SUM($E$36:$E62)))),-F63-((SUM($F$36:$F62)-ABS(SUM($E$36:$E62)))),-C62-D63),0)</f>
        <v>-170</v>
      </c>
      <c r="F63" s="273">
        <v>170</v>
      </c>
      <c r="G63" s="273">
        <f>Produtos!E29</f>
        <v>170</v>
      </c>
      <c r="H63" s="272">
        <f t="shared" si="25"/>
        <v>0</v>
      </c>
      <c r="I63" s="274">
        <f t="shared" si="19"/>
        <v>14.263865316839944</v>
      </c>
      <c r="J63" s="275">
        <f t="shared" si="20"/>
        <v>98862.850511017648</v>
      </c>
      <c r="K63" s="274">
        <f t="shared" si="21"/>
        <v>0</v>
      </c>
      <c r="L63" s="274">
        <f t="shared" si="6"/>
        <v>0</v>
      </c>
      <c r="M63" s="274">
        <f t="shared" si="7"/>
        <v>0</v>
      </c>
      <c r="N63" s="274">
        <f t="shared" si="8"/>
        <v>2125</v>
      </c>
      <c r="O63" s="276">
        <f t="shared" si="22"/>
        <v>-3637.5</v>
      </c>
      <c r="P63" s="277">
        <v>0</v>
      </c>
      <c r="Q63" s="271">
        <f t="shared" si="9"/>
        <v>0</v>
      </c>
      <c r="R63" s="278">
        <f t="shared" si="13"/>
        <v>0</v>
      </c>
      <c r="S63" s="279">
        <f t="shared" si="10"/>
        <v>0</v>
      </c>
      <c r="T63" s="275">
        <f t="shared" si="14"/>
        <v>0</v>
      </c>
      <c r="U63" s="280">
        <v>0</v>
      </c>
      <c r="V63" s="281">
        <f t="shared" si="11"/>
        <v>0</v>
      </c>
      <c r="W63" s="282">
        <f t="shared" si="23"/>
        <v>0</v>
      </c>
      <c r="X63" s="279">
        <f t="shared" si="12"/>
        <v>0</v>
      </c>
      <c r="Y63" s="284">
        <f t="shared" si="24"/>
        <v>0</v>
      </c>
      <c r="Z63" s="180">
        <v>6931</v>
      </c>
      <c r="AB63" s="34"/>
      <c r="AC63" s="184"/>
      <c r="AD63" s="185"/>
      <c r="AE63" s="185"/>
      <c r="AF63" s="185"/>
      <c r="AG63" s="185"/>
      <c r="AH63" s="185"/>
      <c r="AI63" s="186"/>
    </row>
    <row r="64" spans="1:35" ht="18.75" x14ac:dyDescent="0.25">
      <c r="A64" s="25" t="str">
        <f t="shared" si="2"/>
        <v/>
      </c>
      <c r="B64" s="269">
        <f t="shared" si="17"/>
        <v>29</v>
      </c>
      <c r="C64" s="270">
        <f t="shared" si="18"/>
        <v>6711</v>
      </c>
      <c r="D64" s="271">
        <f t="shared" si="3"/>
        <v>0</v>
      </c>
      <c r="E64" s="272">
        <f>IFERROR(IF(C63+D64&gt;=F64+((SUM($F$36:$F63)-ABS(SUM($E$36:$E63)))),-F64-((SUM($F$36:$F63)-ABS(SUM($E$36:$E63)))),-C63-D64),0)</f>
        <v>-220</v>
      </c>
      <c r="F64" s="273">
        <v>220</v>
      </c>
      <c r="G64" s="273">
        <f>Produtos!E30</f>
        <v>220</v>
      </c>
      <c r="H64" s="272">
        <f t="shared" si="25"/>
        <v>0</v>
      </c>
      <c r="I64" s="274">
        <f t="shared" si="19"/>
        <v>14.263865316839944</v>
      </c>
      <c r="J64" s="275">
        <f t="shared" si="20"/>
        <v>95724.800141312866</v>
      </c>
      <c r="K64" s="274">
        <f t="shared" si="21"/>
        <v>0</v>
      </c>
      <c r="L64" s="274">
        <f t="shared" si="6"/>
        <v>0</v>
      </c>
      <c r="M64" s="274">
        <f t="shared" si="7"/>
        <v>0</v>
      </c>
      <c r="N64" s="274">
        <f t="shared" si="8"/>
        <v>2750</v>
      </c>
      <c r="O64" s="276">
        <f t="shared" si="22"/>
        <v>-887.5</v>
      </c>
      <c r="P64" s="277">
        <v>0</v>
      </c>
      <c r="Q64" s="271">
        <f t="shared" si="9"/>
        <v>0</v>
      </c>
      <c r="R64" s="278">
        <f t="shared" si="13"/>
        <v>0</v>
      </c>
      <c r="S64" s="279">
        <f t="shared" si="10"/>
        <v>0</v>
      </c>
      <c r="T64" s="275">
        <f t="shared" si="14"/>
        <v>0</v>
      </c>
      <c r="U64" s="280">
        <v>0</v>
      </c>
      <c r="V64" s="281">
        <f t="shared" si="11"/>
        <v>0</v>
      </c>
      <c r="W64" s="282">
        <f t="shared" si="23"/>
        <v>0</v>
      </c>
      <c r="X64" s="279">
        <f t="shared" si="12"/>
        <v>0</v>
      </c>
      <c r="Y64" s="284">
        <f t="shared" si="24"/>
        <v>0</v>
      </c>
      <c r="Z64" s="180">
        <v>6711</v>
      </c>
      <c r="AA64" s="35"/>
      <c r="AB64" s="35"/>
      <c r="AC64" s="184"/>
      <c r="AD64" s="185"/>
      <c r="AE64" s="185"/>
      <c r="AF64" s="185"/>
      <c r="AG64" s="185"/>
      <c r="AH64" s="185"/>
      <c r="AI64" s="186"/>
    </row>
    <row r="65" spans="1:35" ht="18.75" x14ac:dyDescent="0.25">
      <c r="A65" s="25" t="str">
        <f t="shared" si="2"/>
        <v/>
      </c>
      <c r="B65" s="269">
        <f t="shared" si="17"/>
        <v>30</v>
      </c>
      <c r="C65" s="270">
        <f t="shared" si="18"/>
        <v>4673</v>
      </c>
      <c r="D65" s="271">
        <f t="shared" si="3"/>
        <v>0</v>
      </c>
      <c r="E65" s="272">
        <f>IFERROR(IF(C64+D65&gt;=F65+((SUM($F$36:$F64)-ABS(SUM($E$36:$E64)))),-F65-((SUM($F$36:$F64)-ABS(SUM($E$36:$E64)))),-C64-D65),0)</f>
        <v>-2038</v>
      </c>
      <c r="F65" s="273">
        <v>2038</v>
      </c>
      <c r="G65" s="273">
        <f>Produtos!E31</f>
        <v>2038</v>
      </c>
      <c r="H65" s="272">
        <f t="shared" si="25"/>
        <v>0</v>
      </c>
      <c r="I65" s="274">
        <f t="shared" si="19"/>
        <v>14.263865316839944</v>
      </c>
      <c r="J65" s="275">
        <f t="shared" si="20"/>
        <v>66655.042625593051</v>
      </c>
      <c r="K65" s="274">
        <f t="shared" si="21"/>
        <v>0</v>
      </c>
      <c r="L65" s="274">
        <f t="shared" si="6"/>
        <v>0</v>
      </c>
      <c r="M65" s="274">
        <f t="shared" si="7"/>
        <v>0</v>
      </c>
      <c r="N65" s="274">
        <f t="shared" si="8"/>
        <v>25475</v>
      </c>
      <c r="O65" s="276">
        <f t="shared" si="22"/>
        <v>24587.5</v>
      </c>
      <c r="P65" s="277">
        <v>0</v>
      </c>
      <c r="Q65" s="271">
        <f t="shared" si="9"/>
        <v>0</v>
      </c>
      <c r="R65" s="278">
        <f t="shared" si="13"/>
        <v>0</v>
      </c>
      <c r="S65" s="279">
        <f t="shared" si="10"/>
        <v>0</v>
      </c>
      <c r="T65" s="275">
        <f t="shared" si="14"/>
        <v>0</v>
      </c>
      <c r="U65" s="280">
        <v>0</v>
      </c>
      <c r="V65" s="281">
        <f t="shared" si="11"/>
        <v>0</v>
      </c>
      <c r="W65" s="282">
        <f t="shared" si="23"/>
        <v>0</v>
      </c>
      <c r="X65" s="279">
        <f t="shared" si="12"/>
        <v>0</v>
      </c>
      <c r="Y65" s="284">
        <f t="shared" si="24"/>
        <v>0</v>
      </c>
      <c r="Z65" s="180">
        <v>4673</v>
      </c>
      <c r="AB65" s="34"/>
      <c r="AC65" s="184"/>
      <c r="AD65" s="185"/>
      <c r="AE65" s="185"/>
      <c r="AF65" s="185"/>
      <c r="AG65" s="185"/>
      <c r="AH65" s="185"/>
      <c r="AI65" s="186"/>
    </row>
    <row r="66" spans="1:35" ht="18.75" x14ac:dyDescent="0.25">
      <c r="A66" s="25" t="str">
        <f t="shared" si="2"/>
        <v/>
      </c>
      <c r="B66" s="269">
        <f t="shared" si="17"/>
        <v>31</v>
      </c>
      <c r="C66" s="270">
        <f t="shared" si="18"/>
        <v>2997</v>
      </c>
      <c r="D66" s="271">
        <f t="shared" si="3"/>
        <v>0</v>
      </c>
      <c r="E66" s="272">
        <f>IFERROR(IF(C65+D66&gt;=F66+((SUM($F$36:$F65)-ABS(SUM($E$36:$E65)))),-F66-((SUM($F$36:$F65)-ABS(SUM($E$36:$E65)))),-C65-D66),0)</f>
        <v>-1676</v>
      </c>
      <c r="F66" s="273">
        <v>1676</v>
      </c>
      <c r="G66" s="273">
        <f>Produtos!E32</f>
        <v>1676</v>
      </c>
      <c r="H66" s="272">
        <f t="shared" si="25"/>
        <v>0</v>
      </c>
      <c r="I66" s="274">
        <f t="shared" si="19"/>
        <v>14.263865316839944</v>
      </c>
      <c r="J66" s="275">
        <f t="shared" si="20"/>
        <v>42748.804354569314</v>
      </c>
      <c r="K66" s="274">
        <f t="shared" si="21"/>
        <v>0</v>
      </c>
      <c r="L66" s="274">
        <f t="shared" si="6"/>
        <v>0</v>
      </c>
      <c r="M66" s="274">
        <f t="shared" si="7"/>
        <v>0</v>
      </c>
      <c r="N66" s="274">
        <f t="shared" si="8"/>
        <v>20950</v>
      </c>
      <c r="O66" s="276">
        <f t="shared" si="22"/>
        <v>45537.5</v>
      </c>
      <c r="P66" s="277">
        <v>0</v>
      </c>
      <c r="Q66" s="271">
        <f t="shared" si="9"/>
        <v>0</v>
      </c>
      <c r="R66" s="278">
        <f t="shared" si="13"/>
        <v>0</v>
      </c>
      <c r="S66" s="279">
        <f t="shared" si="10"/>
        <v>0</v>
      </c>
      <c r="T66" s="275">
        <f t="shared" si="14"/>
        <v>0</v>
      </c>
      <c r="U66" s="280">
        <v>0</v>
      </c>
      <c r="V66" s="281">
        <f t="shared" si="11"/>
        <v>0</v>
      </c>
      <c r="W66" s="282">
        <f t="shared" si="23"/>
        <v>0</v>
      </c>
      <c r="X66" s="279">
        <f t="shared" si="12"/>
        <v>0</v>
      </c>
      <c r="Y66" s="284">
        <f t="shared" si="24"/>
        <v>0</v>
      </c>
      <c r="Z66" s="180" t="e">
        <v>#N/A</v>
      </c>
      <c r="AB66" s="34"/>
      <c r="AC66" s="184"/>
      <c r="AD66" s="185"/>
      <c r="AE66" s="185"/>
      <c r="AF66" s="185"/>
      <c r="AG66" s="185"/>
      <c r="AH66" s="185"/>
      <c r="AI66" s="186"/>
    </row>
    <row r="67" spans="1:35" ht="18.75" x14ac:dyDescent="0.25">
      <c r="A67" s="25" t="str">
        <f t="shared" si="2"/>
        <v/>
      </c>
      <c r="B67" s="269">
        <f t="shared" si="17"/>
        <v>32</v>
      </c>
      <c r="C67" s="270">
        <f t="shared" si="18"/>
        <v>10025</v>
      </c>
      <c r="D67" s="271">
        <f t="shared" si="3"/>
        <v>7700</v>
      </c>
      <c r="E67" s="272">
        <f>IFERROR(IF(C66+D67&gt;=F67+((SUM($F$36:$F66)-ABS(SUM($E$36:$E66)))),-F67-((SUM($F$36:$F66)-ABS(SUM($E$36:$E66)))),-C66-D67),0)</f>
        <v>-672</v>
      </c>
      <c r="F67" s="273">
        <v>672</v>
      </c>
      <c r="G67" s="273">
        <f>Produtos!E33</f>
        <v>672</v>
      </c>
      <c r="H67" s="272">
        <f t="shared" si="25"/>
        <v>0</v>
      </c>
      <c r="I67" s="274">
        <f t="shared" si="19"/>
        <v>11.945017890730107</v>
      </c>
      <c r="J67" s="275">
        <f t="shared" si="20"/>
        <v>119748.80435456932</v>
      </c>
      <c r="K67" s="274">
        <f t="shared" si="21"/>
        <v>77000</v>
      </c>
      <c r="L67" s="274">
        <f t="shared" si="6"/>
        <v>77000</v>
      </c>
      <c r="M67" s="274">
        <f t="shared" si="7"/>
        <v>0</v>
      </c>
      <c r="N67" s="274">
        <f t="shared" si="8"/>
        <v>8400</v>
      </c>
      <c r="O67" s="276">
        <f t="shared" si="22"/>
        <v>-23062.5</v>
      </c>
      <c r="P67" s="277">
        <v>9900</v>
      </c>
      <c r="Q67" s="271">
        <f t="shared" si="9"/>
        <v>37</v>
      </c>
      <c r="R67" s="278">
        <f t="shared" si="13"/>
        <v>9900</v>
      </c>
      <c r="S67" s="279">
        <f t="shared" si="10"/>
        <v>10</v>
      </c>
      <c r="T67" s="275">
        <f t="shared" si="14"/>
        <v>99000</v>
      </c>
      <c r="U67" s="280">
        <v>0</v>
      </c>
      <c r="V67" s="281">
        <f t="shared" si="11"/>
        <v>0</v>
      </c>
      <c r="W67" s="282">
        <f t="shared" si="23"/>
        <v>0</v>
      </c>
      <c r="X67" s="279">
        <f t="shared" si="12"/>
        <v>0</v>
      </c>
      <c r="Y67" s="284">
        <f t="shared" si="24"/>
        <v>0</v>
      </c>
      <c r="Z67" s="180">
        <v>10025</v>
      </c>
      <c r="AA67" s="35"/>
      <c r="AC67" s="184"/>
      <c r="AD67" s="185"/>
      <c r="AE67" s="185"/>
      <c r="AF67" s="185"/>
      <c r="AG67" s="185"/>
      <c r="AH67" s="185"/>
      <c r="AI67" s="186"/>
    </row>
    <row r="68" spans="1:35" ht="18.75" x14ac:dyDescent="0.25">
      <c r="A68" s="25" t="str">
        <f t="shared" ref="A68:A95" si="26">IF(B68=$B$30,B68,"")</f>
        <v/>
      </c>
      <c r="B68" s="269">
        <f t="shared" si="17"/>
        <v>33</v>
      </c>
      <c r="C68" s="270">
        <f t="shared" si="18"/>
        <v>7027</v>
      </c>
      <c r="D68" s="271">
        <f t="shared" ref="D68:D95" si="27">IF(B68&lt;=$B$30,IFERROR(VLOOKUP(B68,Q:S,2,0),0)+IFERROR(VLOOKUP(B68,V:X,2,0),0),0)</f>
        <v>0</v>
      </c>
      <c r="E68" s="272">
        <f>IFERROR(IF(C67+D68&gt;=F68+((SUM($F$36:$F67)-ABS(SUM($E$36:$E67)))),-F68-((SUM($F$36:$F67)-ABS(SUM($E$36:$E67)))),-C67-D68),0)</f>
        <v>-2998</v>
      </c>
      <c r="F68" s="273">
        <v>2998</v>
      </c>
      <c r="G68" s="273">
        <f>Produtos!E34</f>
        <v>2998</v>
      </c>
      <c r="H68" s="272">
        <f t="shared" si="25"/>
        <v>0</v>
      </c>
      <c r="I68" s="274">
        <f t="shared" si="19"/>
        <v>11.945017890730107</v>
      </c>
      <c r="J68" s="275">
        <f t="shared" si="20"/>
        <v>83937.640718160459</v>
      </c>
      <c r="K68" s="274">
        <f t="shared" si="21"/>
        <v>0</v>
      </c>
      <c r="L68" s="274">
        <f t="shared" ref="L68:L95" si="28">IFERROR(VLOOKUP(B68,Q:T,4,0),0)</f>
        <v>0</v>
      </c>
      <c r="M68" s="274">
        <f t="shared" ref="M68:M95" si="29">IFERROR(VLOOKUP(B68,V:Y,4,0),0)</f>
        <v>0</v>
      </c>
      <c r="N68" s="274">
        <f t="shared" ref="N68:N95" si="30">-E68*$D$16</f>
        <v>37475</v>
      </c>
      <c r="O68" s="276">
        <f t="shared" si="22"/>
        <v>14412.5</v>
      </c>
      <c r="P68" s="277">
        <v>0</v>
      </c>
      <c r="Q68" s="271">
        <f t="shared" ref="Q68:Q95" si="31">IF(P68&gt;0,B68+$D$5,0)</f>
        <v>0</v>
      </c>
      <c r="R68" s="278">
        <f t="shared" si="13"/>
        <v>0</v>
      </c>
      <c r="S68" s="279">
        <f t="shared" ref="S68:S95" si="32">IF(P68&gt;0,$D$4,0)</f>
        <v>0</v>
      </c>
      <c r="T68" s="275">
        <f t="shared" si="14"/>
        <v>0</v>
      </c>
      <c r="U68" s="280">
        <v>0</v>
      </c>
      <c r="V68" s="281">
        <f t="shared" ref="V68:V95" si="33">IF(U68&gt;0,B68+$D$8,0)</f>
        <v>0</v>
      </c>
      <c r="W68" s="282">
        <f t="shared" si="23"/>
        <v>0</v>
      </c>
      <c r="X68" s="279">
        <f t="shared" ref="X68:X95" si="34">IF(U68&gt;0,$D$7,0)</f>
        <v>0</v>
      </c>
      <c r="Y68" s="284">
        <f t="shared" si="24"/>
        <v>0</v>
      </c>
      <c r="Z68" s="180">
        <v>7027</v>
      </c>
      <c r="AA68" s="8"/>
      <c r="AB68" s="34"/>
      <c r="AC68" s="184"/>
      <c r="AD68" s="185"/>
      <c r="AE68" s="185"/>
      <c r="AF68" s="185"/>
      <c r="AG68" s="185"/>
      <c r="AH68" s="185"/>
      <c r="AI68" s="186"/>
    </row>
    <row r="69" spans="1:35" ht="18.75" x14ac:dyDescent="0.25">
      <c r="A69" s="25" t="str">
        <f t="shared" si="26"/>
        <v/>
      </c>
      <c r="B69" s="269">
        <f t="shared" si="17"/>
        <v>34</v>
      </c>
      <c r="C69" s="270">
        <f t="shared" si="18"/>
        <v>5672</v>
      </c>
      <c r="D69" s="271">
        <f t="shared" si="27"/>
        <v>0</v>
      </c>
      <c r="E69" s="272">
        <f>IFERROR(IF(C68+D69&gt;=F69+((SUM($F$36:$F68)-ABS(SUM($E$36:$E68)))),-F69-((SUM($F$36:$F68)-ABS(SUM($E$36:$E68)))),-C68-D69),0)</f>
        <v>-1355</v>
      </c>
      <c r="F69" s="273">
        <v>1355</v>
      </c>
      <c r="G69" s="273">
        <f>Produtos!E35</f>
        <v>1355</v>
      </c>
      <c r="H69" s="272">
        <f t="shared" si="25"/>
        <v>0</v>
      </c>
      <c r="I69" s="274">
        <f t="shared" si="19"/>
        <v>11.945017890730107</v>
      </c>
      <c r="J69" s="275">
        <f t="shared" si="20"/>
        <v>67752.141476221164</v>
      </c>
      <c r="K69" s="274">
        <f t="shared" si="21"/>
        <v>0</v>
      </c>
      <c r="L69" s="274">
        <f t="shared" si="28"/>
        <v>0</v>
      </c>
      <c r="M69" s="274">
        <f t="shared" si="29"/>
        <v>0</v>
      </c>
      <c r="N69" s="274">
        <f t="shared" si="30"/>
        <v>16937.5</v>
      </c>
      <c r="O69" s="276">
        <f t="shared" si="22"/>
        <v>31350</v>
      </c>
      <c r="P69" s="277">
        <v>0</v>
      </c>
      <c r="Q69" s="271">
        <f t="shared" si="31"/>
        <v>0</v>
      </c>
      <c r="R69" s="278">
        <f t="shared" si="13"/>
        <v>0</v>
      </c>
      <c r="S69" s="279">
        <f t="shared" si="32"/>
        <v>0</v>
      </c>
      <c r="T69" s="275">
        <f t="shared" si="14"/>
        <v>0</v>
      </c>
      <c r="U69" s="280">
        <v>0</v>
      </c>
      <c r="V69" s="281">
        <f t="shared" si="33"/>
        <v>0</v>
      </c>
      <c r="W69" s="282">
        <f t="shared" si="23"/>
        <v>0</v>
      </c>
      <c r="X69" s="279">
        <f t="shared" si="34"/>
        <v>0</v>
      </c>
      <c r="Y69" s="284">
        <f t="shared" si="24"/>
        <v>0</v>
      </c>
      <c r="Z69" s="180">
        <v>5672</v>
      </c>
      <c r="AA69" s="35"/>
      <c r="AB69" s="35"/>
      <c r="AC69" s="184"/>
      <c r="AD69" s="185"/>
      <c r="AE69" s="185"/>
      <c r="AF69" s="185"/>
      <c r="AG69" s="185"/>
      <c r="AH69" s="185"/>
      <c r="AI69" s="186"/>
    </row>
    <row r="70" spans="1:35" ht="18.75" x14ac:dyDescent="0.25">
      <c r="A70" s="25" t="str">
        <f t="shared" si="26"/>
        <v/>
      </c>
      <c r="B70" s="269">
        <f t="shared" si="17"/>
        <v>35</v>
      </c>
      <c r="C70" s="270">
        <f t="shared" si="18"/>
        <v>5000</v>
      </c>
      <c r="D70" s="271">
        <f t="shared" si="27"/>
        <v>0</v>
      </c>
      <c r="E70" s="272">
        <f>IFERROR(IF(C69+D70&gt;=F70+((SUM($F$36:$F69)-ABS(SUM($E$36:$E69)))),-F70-((SUM($F$36:$F69)-ABS(SUM($E$36:$E69)))),-C69-D70),0)</f>
        <v>-672</v>
      </c>
      <c r="F70" s="273">
        <v>672</v>
      </c>
      <c r="G70" s="273">
        <f>Produtos!E36</f>
        <v>672</v>
      </c>
      <c r="H70" s="272">
        <f t="shared" si="25"/>
        <v>0</v>
      </c>
      <c r="I70" s="274">
        <f t="shared" si="19"/>
        <v>11.945017890730107</v>
      </c>
      <c r="J70" s="275">
        <f t="shared" si="20"/>
        <v>59725.089453650529</v>
      </c>
      <c r="K70" s="274">
        <f t="shared" si="21"/>
        <v>0</v>
      </c>
      <c r="L70" s="274">
        <f t="shared" si="28"/>
        <v>0</v>
      </c>
      <c r="M70" s="274">
        <f t="shared" si="29"/>
        <v>0</v>
      </c>
      <c r="N70" s="274">
        <f t="shared" si="30"/>
        <v>8400</v>
      </c>
      <c r="O70" s="276">
        <f t="shared" si="22"/>
        <v>39750</v>
      </c>
      <c r="P70" s="277">
        <v>0</v>
      </c>
      <c r="Q70" s="271">
        <f t="shared" si="31"/>
        <v>0</v>
      </c>
      <c r="R70" s="278">
        <f t="shared" si="13"/>
        <v>0</v>
      </c>
      <c r="S70" s="279">
        <f t="shared" si="32"/>
        <v>0</v>
      </c>
      <c r="T70" s="275">
        <f t="shared" si="14"/>
        <v>0</v>
      </c>
      <c r="U70" s="280">
        <v>0</v>
      </c>
      <c r="V70" s="281">
        <f t="shared" si="33"/>
        <v>0</v>
      </c>
      <c r="W70" s="282">
        <f t="shared" si="23"/>
        <v>0</v>
      </c>
      <c r="X70" s="279">
        <f t="shared" si="34"/>
        <v>0</v>
      </c>
      <c r="Y70" s="284">
        <f t="shared" si="24"/>
        <v>0</v>
      </c>
      <c r="Z70" s="180">
        <v>5000</v>
      </c>
      <c r="AB70" s="34"/>
      <c r="AC70" s="184"/>
      <c r="AD70" s="185"/>
      <c r="AE70" s="185"/>
      <c r="AF70" s="185"/>
      <c r="AG70" s="185"/>
      <c r="AH70" s="185"/>
      <c r="AI70" s="186"/>
    </row>
    <row r="71" spans="1:35" ht="18.75" x14ac:dyDescent="0.25">
      <c r="A71" s="25" t="str">
        <f t="shared" si="26"/>
        <v/>
      </c>
      <c r="B71" s="269">
        <f t="shared" si="17"/>
        <v>36</v>
      </c>
      <c r="C71" s="270">
        <f t="shared" si="18"/>
        <v>3040</v>
      </c>
      <c r="D71" s="271">
        <f t="shared" si="27"/>
        <v>0</v>
      </c>
      <c r="E71" s="272">
        <f>IFERROR(IF(C70+D71&gt;=F71+((SUM($F$36:$F70)-ABS(SUM($E$36:$E70)))),-F71-((SUM($F$36:$F70)-ABS(SUM($E$36:$E70)))),-C70-D71),0)</f>
        <v>-1960</v>
      </c>
      <c r="F71" s="273">
        <v>1960</v>
      </c>
      <c r="G71" s="273">
        <f>Produtos!E37</f>
        <v>1960</v>
      </c>
      <c r="H71" s="272">
        <f t="shared" si="25"/>
        <v>0</v>
      </c>
      <c r="I71" s="274">
        <f t="shared" si="19"/>
        <v>11.945017890730107</v>
      </c>
      <c r="J71" s="275">
        <f t="shared" si="20"/>
        <v>36312.854387819527</v>
      </c>
      <c r="K71" s="274">
        <f t="shared" si="21"/>
        <v>0</v>
      </c>
      <c r="L71" s="274">
        <f t="shared" si="28"/>
        <v>0</v>
      </c>
      <c r="M71" s="274">
        <f t="shared" si="29"/>
        <v>0</v>
      </c>
      <c r="N71" s="274">
        <f t="shared" si="30"/>
        <v>24500</v>
      </c>
      <c r="O71" s="276">
        <f t="shared" si="22"/>
        <v>64250</v>
      </c>
      <c r="P71" s="277">
        <v>0</v>
      </c>
      <c r="Q71" s="271">
        <f t="shared" si="31"/>
        <v>0</v>
      </c>
      <c r="R71" s="278">
        <f t="shared" si="13"/>
        <v>0</v>
      </c>
      <c r="S71" s="279">
        <f t="shared" si="32"/>
        <v>0</v>
      </c>
      <c r="T71" s="275">
        <f t="shared" si="14"/>
        <v>0</v>
      </c>
      <c r="U71" s="280">
        <v>0</v>
      </c>
      <c r="V71" s="281">
        <f t="shared" si="33"/>
        <v>0</v>
      </c>
      <c r="W71" s="282">
        <f t="shared" si="23"/>
        <v>0</v>
      </c>
      <c r="X71" s="279">
        <f t="shared" si="34"/>
        <v>0</v>
      </c>
      <c r="Y71" s="284">
        <f t="shared" si="24"/>
        <v>0</v>
      </c>
      <c r="Z71" s="180">
        <v>3040</v>
      </c>
      <c r="AB71" s="34"/>
      <c r="AC71" s="184"/>
      <c r="AD71" s="185"/>
      <c r="AE71" s="185"/>
      <c r="AF71" s="185"/>
      <c r="AG71" s="185"/>
      <c r="AH71" s="185"/>
      <c r="AI71" s="186"/>
    </row>
    <row r="72" spans="1:35" ht="18.75" x14ac:dyDescent="0.25">
      <c r="A72" s="25" t="str">
        <f t="shared" si="26"/>
        <v/>
      </c>
      <c r="B72" s="269">
        <f t="shared" si="17"/>
        <v>37</v>
      </c>
      <c r="C72" s="270">
        <f t="shared" si="18"/>
        <v>9760</v>
      </c>
      <c r="D72" s="271">
        <f t="shared" si="27"/>
        <v>9900</v>
      </c>
      <c r="E72" s="272">
        <f>IFERROR(IF(C71+D72&gt;=F72+((SUM($F$36:$F71)-ABS(SUM($E$36:$E71)))),-F72-((SUM($F$36:$F71)-ABS(SUM($E$36:$E71)))),-C71-D72),0)</f>
        <v>-3180</v>
      </c>
      <c r="F72" s="273">
        <v>3180</v>
      </c>
      <c r="G72" s="273">
        <f>Produtos!E38</f>
        <v>3180</v>
      </c>
      <c r="H72" s="272">
        <f t="shared" si="25"/>
        <v>0</v>
      </c>
      <c r="I72" s="274">
        <f t="shared" si="19"/>
        <v>13.864021965965117</v>
      </c>
      <c r="J72" s="275">
        <f t="shared" si="20"/>
        <v>135312.85438781953</v>
      </c>
      <c r="K72" s="274">
        <f t="shared" si="21"/>
        <v>99000</v>
      </c>
      <c r="L72" s="274">
        <f t="shared" si="28"/>
        <v>99000</v>
      </c>
      <c r="M72" s="274">
        <f t="shared" si="29"/>
        <v>0</v>
      </c>
      <c r="N72" s="274">
        <f t="shared" si="30"/>
        <v>39750</v>
      </c>
      <c r="O72" s="276">
        <f t="shared" si="22"/>
        <v>5000</v>
      </c>
      <c r="P72" s="277">
        <v>9700</v>
      </c>
      <c r="Q72" s="271">
        <f t="shared" si="31"/>
        <v>42</v>
      </c>
      <c r="R72" s="278">
        <f t="shared" si="13"/>
        <v>9700</v>
      </c>
      <c r="S72" s="279">
        <f t="shared" si="32"/>
        <v>10</v>
      </c>
      <c r="T72" s="275">
        <f t="shared" si="14"/>
        <v>97000</v>
      </c>
      <c r="U72" s="280">
        <v>0</v>
      </c>
      <c r="V72" s="281">
        <f t="shared" si="33"/>
        <v>0</v>
      </c>
      <c r="W72" s="282">
        <f t="shared" si="23"/>
        <v>0</v>
      </c>
      <c r="X72" s="279">
        <f t="shared" si="34"/>
        <v>0</v>
      </c>
      <c r="Y72" s="284">
        <f t="shared" si="24"/>
        <v>0</v>
      </c>
      <c r="Z72" s="180">
        <v>9760</v>
      </c>
      <c r="AA72" s="35"/>
      <c r="AC72" s="184"/>
      <c r="AD72" s="185"/>
      <c r="AE72" s="185"/>
      <c r="AF72" s="185"/>
      <c r="AG72" s="185"/>
      <c r="AH72" s="185"/>
      <c r="AI72" s="186"/>
    </row>
    <row r="73" spans="1:35" ht="18.75" x14ac:dyDescent="0.25">
      <c r="A73" s="25" t="str">
        <f t="shared" si="26"/>
        <v/>
      </c>
      <c r="B73" s="269">
        <f t="shared" si="17"/>
        <v>38</v>
      </c>
      <c r="C73" s="270">
        <f t="shared" si="18"/>
        <v>7536</v>
      </c>
      <c r="D73" s="271">
        <f t="shared" si="27"/>
        <v>0</v>
      </c>
      <c r="E73" s="272">
        <f>IFERROR(IF(C72+D73&gt;=F73+((SUM($F$36:$F72)-ABS(SUM($E$36:$E72)))),-F73-((SUM($F$36:$F72)-ABS(SUM($E$36:$E72)))),-C72-D73),0)</f>
        <v>-2224</v>
      </c>
      <c r="F73" s="273">
        <v>2224</v>
      </c>
      <c r="G73" s="273">
        <f>Produtos!E39</f>
        <v>2224</v>
      </c>
      <c r="H73" s="272">
        <f t="shared" si="25"/>
        <v>0</v>
      </c>
      <c r="I73" s="274">
        <f t="shared" si="19"/>
        <v>13.864021965965117</v>
      </c>
      <c r="J73" s="275">
        <f t="shared" si="20"/>
        <v>104479.26953551311</v>
      </c>
      <c r="K73" s="274">
        <f t="shared" si="21"/>
        <v>0</v>
      </c>
      <c r="L73" s="274">
        <f t="shared" si="28"/>
        <v>0</v>
      </c>
      <c r="M73" s="274">
        <f t="shared" si="29"/>
        <v>0</v>
      </c>
      <c r="N73" s="274">
        <f t="shared" si="30"/>
        <v>27800</v>
      </c>
      <c r="O73" s="276">
        <f t="shared" si="22"/>
        <v>32800</v>
      </c>
      <c r="P73" s="277">
        <v>0</v>
      </c>
      <c r="Q73" s="271">
        <f t="shared" si="31"/>
        <v>0</v>
      </c>
      <c r="R73" s="278">
        <f t="shared" si="13"/>
        <v>0</v>
      </c>
      <c r="S73" s="279">
        <f t="shared" si="32"/>
        <v>0</v>
      </c>
      <c r="T73" s="275">
        <f t="shared" si="14"/>
        <v>0</v>
      </c>
      <c r="U73" s="280">
        <v>0</v>
      </c>
      <c r="V73" s="281">
        <f t="shared" si="33"/>
        <v>0</v>
      </c>
      <c r="W73" s="282">
        <f t="shared" si="23"/>
        <v>0</v>
      </c>
      <c r="X73" s="279">
        <f t="shared" si="34"/>
        <v>0</v>
      </c>
      <c r="Y73" s="284">
        <f t="shared" si="24"/>
        <v>0</v>
      </c>
      <c r="Z73" s="180">
        <v>7536</v>
      </c>
      <c r="AA73" s="8"/>
      <c r="AB73" s="34"/>
      <c r="AC73" s="184"/>
      <c r="AD73" s="185"/>
      <c r="AE73" s="185"/>
      <c r="AF73" s="185"/>
      <c r="AG73" s="185"/>
      <c r="AH73" s="185"/>
      <c r="AI73" s="186"/>
    </row>
    <row r="74" spans="1:35" ht="18.75" x14ac:dyDescent="0.25">
      <c r="A74" s="25" t="str">
        <f t="shared" si="26"/>
        <v/>
      </c>
      <c r="B74" s="269">
        <f t="shared" si="17"/>
        <v>39</v>
      </c>
      <c r="C74" s="270">
        <f t="shared" si="18"/>
        <v>7145</v>
      </c>
      <c r="D74" s="271">
        <f t="shared" si="27"/>
        <v>0</v>
      </c>
      <c r="E74" s="272">
        <f>IFERROR(IF(C73+D74&gt;=F74+((SUM($F$36:$F73)-ABS(SUM($E$36:$E73)))),-F74-((SUM($F$36:$F73)-ABS(SUM($E$36:$E73)))),-C73-D74),0)</f>
        <v>-391</v>
      </c>
      <c r="F74" s="273">
        <v>391</v>
      </c>
      <c r="G74" s="273">
        <f>Produtos!E40</f>
        <v>391</v>
      </c>
      <c r="H74" s="272">
        <f t="shared" si="25"/>
        <v>0</v>
      </c>
      <c r="I74" s="274">
        <f t="shared" si="19"/>
        <v>13.864021965965117</v>
      </c>
      <c r="J74" s="275">
        <f t="shared" si="20"/>
        <v>99058.436946820759</v>
      </c>
      <c r="K74" s="274">
        <f t="shared" si="21"/>
        <v>0</v>
      </c>
      <c r="L74" s="274">
        <f t="shared" si="28"/>
        <v>0</v>
      </c>
      <c r="M74" s="274">
        <f t="shared" si="29"/>
        <v>0</v>
      </c>
      <c r="N74" s="274">
        <f t="shared" si="30"/>
        <v>4887.5</v>
      </c>
      <c r="O74" s="276">
        <f t="shared" si="22"/>
        <v>37687.5</v>
      </c>
      <c r="P74" s="277">
        <v>0</v>
      </c>
      <c r="Q74" s="271">
        <f t="shared" si="31"/>
        <v>0</v>
      </c>
      <c r="R74" s="278">
        <f t="shared" si="13"/>
        <v>0</v>
      </c>
      <c r="S74" s="279">
        <f t="shared" si="32"/>
        <v>0</v>
      </c>
      <c r="T74" s="275">
        <f t="shared" si="14"/>
        <v>0</v>
      </c>
      <c r="U74" s="280">
        <v>0</v>
      </c>
      <c r="V74" s="281">
        <f t="shared" si="33"/>
        <v>0</v>
      </c>
      <c r="W74" s="282">
        <f t="shared" si="23"/>
        <v>0</v>
      </c>
      <c r="X74" s="279">
        <f t="shared" si="34"/>
        <v>0</v>
      </c>
      <c r="Y74" s="284">
        <f t="shared" si="24"/>
        <v>0</v>
      </c>
      <c r="Z74" s="180" t="e">
        <v>#N/A</v>
      </c>
      <c r="AA74" s="35"/>
      <c r="AB74" s="35"/>
      <c r="AC74" s="184"/>
      <c r="AD74" s="185"/>
      <c r="AE74" s="185"/>
      <c r="AF74" s="185"/>
      <c r="AG74" s="185"/>
      <c r="AH74" s="185"/>
      <c r="AI74" s="186"/>
    </row>
    <row r="75" spans="1:35" ht="18.75" x14ac:dyDescent="0.25">
      <c r="A75" s="25" t="str">
        <f t="shared" si="26"/>
        <v/>
      </c>
      <c r="B75" s="269">
        <f t="shared" si="17"/>
        <v>40</v>
      </c>
      <c r="C75" s="270">
        <f t="shared" si="18"/>
        <v>4981</v>
      </c>
      <c r="D75" s="271">
        <f t="shared" si="27"/>
        <v>0</v>
      </c>
      <c r="E75" s="272">
        <f>IFERROR(IF(C74+D75&gt;=F75+((SUM($F$36:$F74)-ABS(SUM($E$36:$E74)))),-F75-((SUM($F$36:$F74)-ABS(SUM($E$36:$E74)))),-C74-D75),0)</f>
        <v>-2164</v>
      </c>
      <c r="F75" s="273">
        <v>2164</v>
      </c>
      <c r="G75" s="273">
        <f>Produtos!E41</f>
        <v>2164</v>
      </c>
      <c r="H75" s="272">
        <f t="shared" si="25"/>
        <v>0</v>
      </c>
      <c r="I75" s="274">
        <f t="shared" si="19"/>
        <v>13.864021965965117</v>
      </c>
      <c r="J75" s="275">
        <f t="shared" si="20"/>
        <v>69056.693412472247</v>
      </c>
      <c r="K75" s="274">
        <f t="shared" si="21"/>
        <v>0</v>
      </c>
      <c r="L75" s="274">
        <f t="shared" si="28"/>
        <v>0</v>
      </c>
      <c r="M75" s="274">
        <f t="shared" si="29"/>
        <v>0</v>
      </c>
      <c r="N75" s="274">
        <f t="shared" si="30"/>
        <v>27050</v>
      </c>
      <c r="O75" s="276">
        <f t="shared" si="22"/>
        <v>64737.5</v>
      </c>
      <c r="P75" s="277">
        <v>0</v>
      </c>
      <c r="Q75" s="271">
        <f t="shared" si="31"/>
        <v>0</v>
      </c>
      <c r="R75" s="278">
        <f t="shared" si="13"/>
        <v>0</v>
      </c>
      <c r="S75" s="279">
        <f t="shared" si="32"/>
        <v>0</v>
      </c>
      <c r="T75" s="275">
        <f t="shared" si="14"/>
        <v>0</v>
      </c>
      <c r="U75" s="280">
        <v>0</v>
      </c>
      <c r="V75" s="281">
        <f t="shared" si="33"/>
        <v>0</v>
      </c>
      <c r="W75" s="282">
        <f t="shared" si="23"/>
        <v>0</v>
      </c>
      <c r="X75" s="279">
        <f t="shared" si="34"/>
        <v>0</v>
      </c>
      <c r="Y75" s="284">
        <f t="shared" si="24"/>
        <v>0</v>
      </c>
      <c r="Z75" s="180">
        <v>4981</v>
      </c>
      <c r="AB75" s="34"/>
      <c r="AC75" s="184"/>
      <c r="AD75" s="185"/>
      <c r="AE75" s="185"/>
      <c r="AF75" s="185"/>
      <c r="AG75" s="185"/>
      <c r="AH75" s="185"/>
      <c r="AI75" s="186"/>
    </row>
    <row r="76" spans="1:35" ht="18.75" x14ac:dyDescent="0.25">
      <c r="A76" s="25" t="str">
        <f t="shared" si="26"/>
        <v/>
      </c>
      <c r="B76" s="269">
        <f t="shared" si="17"/>
        <v>41</v>
      </c>
      <c r="C76" s="270">
        <f t="shared" si="18"/>
        <v>3081</v>
      </c>
      <c r="D76" s="271">
        <f t="shared" si="27"/>
        <v>0</v>
      </c>
      <c r="E76" s="272">
        <f>IFERROR(IF(C75+D76&gt;=F76+((SUM($F$36:$F75)-ABS(SUM($E$36:$E75)))),-F76-((SUM($F$36:$F75)-ABS(SUM($E$36:$E75)))),-C75-D76),0)</f>
        <v>-1900</v>
      </c>
      <c r="F76" s="273">
        <v>1900</v>
      </c>
      <c r="G76" s="273">
        <f>Produtos!E42</f>
        <v>1900</v>
      </c>
      <c r="H76" s="272">
        <f t="shared" si="25"/>
        <v>0</v>
      </c>
      <c r="I76" s="274">
        <f t="shared" si="19"/>
        <v>13.864021965965117</v>
      </c>
      <c r="J76" s="275">
        <f t="shared" si="20"/>
        <v>42715.051677138523</v>
      </c>
      <c r="K76" s="274">
        <f t="shared" si="21"/>
        <v>0</v>
      </c>
      <c r="L76" s="274">
        <f t="shared" si="28"/>
        <v>0</v>
      </c>
      <c r="M76" s="274">
        <f t="shared" si="29"/>
        <v>0</v>
      </c>
      <c r="N76" s="274">
        <f t="shared" si="30"/>
        <v>23750</v>
      </c>
      <c r="O76" s="276">
        <f t="shared" si="22"/>
        <v>88487.5</v>
      </c>
      <c r="P76" s="277">
        <v>0</v>
      </c>
      <c r="Q76" s="271">
        <f t="shared" si="31"/>
        <v>0</v>
      </c>
      <c r="R76" s="278">
        <f t="shared" si="13"/>
        <v>0</v>
      </c>
      <c r="S76" s="279">
        <f t="shared" si="32"/>
        <v>0</v>
      </c>
      <c r="T76" s="275">
        <f t="shared" si="14"/>
        <v>0</v>
      </c>
      <c r="U76" s="280">
        <v>0</v>
      </c>
      <c r="V76" s="281">
        <f t="shared" si="33"/>
        <v>0</v>
      </c>
      <c r="W76" s="282">
        <f t="shared" si="23"/>
        <v>0</v>
      </c>
      <c r="X76" s="279">
        <f t="shared" si="34"/>
        <v>0</v>
      </c>
      <c r="Y76" s="284">
        <f t="shared" si="24"/>
        <v>0</v>
      </c>
      <c r="Z76" s="180">
        <v>3081</v>
      </c>
      <c r="AB76" s="34"/>
      <c r="AC76" s="184"/>
      <c r="AD76" s="185"/>
      <c r="AE76" s="185"/>
      <c r="AF76" s="185"/>
      <c r="AG76" s="185"/>
      <c r="AH76" s="185"/>
      <c r="AI76" s="186"/>
    </row>
    <row r="77" spans="1:35" ht="18.75" x14ac:dyDescent="0.25">
      <c r="A77" s="25" t="str">
        <f t="shared" si="26"/>
        <v/>
      </c>
      <c r="B77" s="269">
        <f t="shared" si="17"/>
        <v>42</v>
      </c>
      <c r="C77" s="270">
        <f t="shared" si="18"/>
        <v>9735</v>
      </c>
      <c r="D77" s="271">
        <f t="shared" si="27"/>
        <v>9700</v>
      </c>
      <c r="E77" s="272">
        <f>IFERROR(IF(C76+D77&gt;=F77+((SUM($F$36:$F76)-ABS(SUM($E$36:$E76)))),-F77-((SUM($F$36:$F76)-ABS(SUM($E$36:$E76)))),-C76-D77),0)</f>
        <v>-3046</v>
      </c>
      <c r="F77" s="273">
        <v>3046</v>
      </c>
      <c r="G77" s="273">
        <f>Produtos!E43</f>
        <v>3046</v>
      </c>
      <c r="H77" s="272">
        <f t="shared" si="25"/>
        <v>0</v>
      </c>
      <c r="I77" s="274">
        <f t="shared" si="19"/>
        <v>14.351828626311095</v>
      </c>
      <c r="J77" s="275">
        <f t="shared" si="20"/>
        <v>139715.05167713852</v>
      </c>
      <c r="K77" s="274">
        <f t="shared" si="21"/>
        <v>97000</v>
      </c>
      <c r="L77" s="274">
        <f t="shared" si="28"/>
        <v>97000</v>
      </c>
      <c r="M77" s="274">
        <f t="shared" si="29"/>
        <v>0</v>
      </c>
      <c r="N77" s="274">
        <f t="shared" si="30"/>
        <v>38075</v>
      </c>
      <c r="O77" s="276">
        <f t="shared" si="22"/>
        <v>29562.5</v>
      </c>
      <c r="P77" s="277">
        <v>7500</v>
      </c>
      <c r="Q77" s="271">
        <f t="shared" si="31"/>
        <v>47</v>
      </c>
      <c r="R77" s="278">
        <f t="shared" si="13"/>
        <v>7500</v>
      </c>
      <c r="S77" s="279">
        <f t="shared" si="32"/>
        <v>10</v>
      </c>
      <c r="T77" s="275">
        <f t="shared" si="14"/>
        <v>75000</v>
      </c>
      <c r="U77" s="280">
        <v>0</v>
      </c>
      <c r="V77" s="281">
        <f t="shared" si="33"/>
        <v>0</v>
      </c>
      <c r="W77" s="282">
        <f t="shared" si="23"/>
        <v>0</v>
      </c>
      <c r="X77" s="279">
        <f t="shared" si="34"/>
        <v>0</v>
      </c>
      <c r="Y77" s="284">
        <f t="shared" si="24"/>
        <v>0</v>
      </c>
      <c r="Z77" s="180">
        <v>9735</v>
      </c>
      <c r="AA77" s="35"/>
      <c r="AC77" s="184"/>
      <c r="AD77" s="185"/>
      <c r="AE77" s="185"/>
      <c r="AF77" s="185"/>
      <c r="AG77" s="185"/>
      <c r="AH77" s="185"/>
      <c r="AI77" s="186"/>
    </row>
    <row r="78" spans="1:35" ht="18.75" x14ac:dyDescent="0.25">
      <c r="A78" s="25" t="str">
        <f t="shared" si="26"/>
        <v/>
      </c>
      <c r="B78" s="269">
        <f t="shared" si="17"/>
        <v>43</v>
      </c>
      <c r="C78" s="270">
        <f t="shared" si="18"/>
        <v>6813</v>
      </c>
      <c r="D78" s="271">
        <f t="shared" si="27"/>
        <v>0</v>
      </c>
      <c r="E78" s="272">
        <f>IFERROR(IF(C77+D78&gt;=F78+((SUM($F$36:$F77)-ABS(SUM($E$36:$E77)))),-F78-((SUM($F$36:$F77)-ABS(SUM($E$36:$E77)))),-C77-D78),0)</f>
        <v>-2922</v>
      </c>
      <c r="F78" s="273">
        <v>2922</v>
      </c>
      <c r="G78" s="273">
        <f>Produtos!E44</f>
        <v>2922</v>
      </c>
      <c r="H78" s="272">
        <f t="shared" si="25"/>
        <v>0</v>
      </c>
      <c r="I78" s="274">
        <f t="shared" si="19"/>
        <v>14.351828626311095</v>
      </c>
      <c r="J78" s="275">
        <f t="shared" si="20"/>
        <v>97779.008431057489</v>
      </c>
      <c r="K78" s="274">
        <f t="shared" si="21"/>
        <v>0</v>
      </c>
      <c r="L78" s="274">
        <f t="shared" si="28"/>
        <v>0</v>
      </c>
      <c r="M78" s="274">
        <f t="shared" si="29"/>
        <v>0</v>
      </c>
      <c r="N78" s="274">
        <f t="shared" si="30"/>
        <v>36525</v>
      </c>
      <c r="O78" s="276">
        <f t="shared" si="22"/>
        <v>66087.5</v>
      </c>
      <c r="P78" s="277">
        <v>0</v>
      </c>
      <c r="Q78" s="271">
        <f t="shared" si="31"/>
        <v>0</v>
      </c>
      <c r="R78" s="278">
        <f t="shared" si="13"/>
        <v>0</v>
      </c>
      <c r="S78" s="279">
        <f t="shared" si="32"/>
        <v>0</v>
      </c>
      <c r="T78" s="275">
        <f t="shared" si="14"/>
        <v>0</v>
      </c>
      <c r="U78" s="280">
        <v>0</v>
      </c>
      <c r="V78" s="281">
        <f t="shared" si="33"/>
        <v>0</v>
      </c>
      <c r="W78" s="282">
        <f t="shared" si="23"/>
        <v>0</v>
      </c>
      <c r="X78" s="279">
        <f t="shared" si="34"/>
        <v>0</v>
      </c>
      <c r="Y78" s="284">
        <f t="shared" si="24"/>
        <v>0</v>
      </c>
      <c r="Z78" s="180" t="e">
        <v>#N/A</v>
      </c>
      <c r="AA78" s="8"/>
      <c r="AB78" s="34"/>
      <c r="AC78" s="184"/>
      <c r="AD78" s="185"/>
      <c r="AE78" s="185"/>
      <c r="AF78" s="185"/>
      <c r="AG78" s="185"/>
      <c r="AH78" s="185"/>
      <c r="AI78" s="186"/>
    </row>
    <row r="79" spans="1:35" ht="18.75" x14ac:dyDescent="0.25">
      <c r="A79" s="25" t="str">
        <f t="shared" si="26"/>
        <v/>
      </c>
      <c r="B79" s="269">
        <f t="shared" si="17"/>
        <v>44</v>
      </c>
      <c r="C79" s="270">
        <f t="shared" si="18"/>
        <v>4999</v>
      </c>
      <c r="D79" s="271">
        <f t="shared" si="27"/>
        <v>0</v>
      </c>
      <c r="E79" s="272">
        <f>IFERROR(IF(C78+D79&gt;=F79+((SUM($F$36:$F78)-ABS(SUM($E$36:$E78)))),-F79-((SUM($F$36:$F78)-ABS(SUM($E$36:$E78)))),-C78-D79),0)</f>
        <v>-1814</v>
      </c>
      <c r="F79" s="273">
        <v>1814</v>
      </c>
      <c r="G79" s="273">
        <f>Produtos!E45</f>
        <v>1814</v>
      </c>
      <c r="H79" s="272">
        <f t="shared" si="25"/>
        <v>0</v>
      </c>
      <c r="I79" s="274">
        <f t="shared" si="19"/>
        <v>14.351828626311095</v>
      </c>
      <c r="J79" s="275">
        <f t="shared" si="20"/>
        <v>71744.791302929167</v>
      </c>
      <c r="K79" s="274">
        <f t="shared" si="21"/>
        <v>0</v>
      </c>
      <c r="L79" s="274">
        <f t="shared" si="28"/>
        <v>0</v>
      </c>
      <c r="M79" s="274">
        <f t="shared" si="29"/>
        <v>0</v>
      </c>
      <c r="N79" s="274">
        <f t="shared" si="30"/>
        <v>22675</v>
      </c>
      <c r="O79" s="276">
        <f t="shared" si="22"/>
        <v>88762.5</v>
      </c>
      <c r="P79" s="277">
        <v>0</v>
      </c>
      <c r="Q79" s="271">
        <f t="shared" si="31"/>
        <v>0</v>
      </c>
      <c r="R79" s="278">
        <f t="shared" si="13"/>
        <v>0</v>
      </c>
      <c r="S79" s="279">
        <f t="shared" si="32"/>
        <v>0</v>
      </c>
      <c r="T79" s="275">
        <f t="shared" si="14"/>
        <v>0</v>
      </c>
      <c r="U79" s="280">
        <v>0</v>
      </c>
      <c r="V79" s="281">
        <f t="shared" si="33"/>
        <v>0</v>
      </c>
      <c r="W79" s="282">
        <f t="shared" si="23"/>
        <v>0</v>
      </c>
      <c r="X79" s="279">
        <f t="shared" si="34"/>
        <v>0</v>
      </c>
      <c r="Y79" s="284">
        <f t="shared" si="24"/>
        <v>0</v>
      </c>
      <c r="Z79" s="180">
        <v>4999</v>
      </c>
      <c r="AA79" s="35"/>
      <c r="AB79" s="35"/>
      <c r="AC79" s="184"/>
      <c r="AD79" s="185"/>
      <c r="AE79" s="185"/>
      <c r="AF79" s="185"/>
      <c r="AG79" s="185"/>
      <c r="AH79" s="185"/>
      <c r="AI79" s="186"/>
    </row>
    <row r="80" spans="1:35" ht="18.75" x14ac:dyDescent="0.25">
      <c r="A80" s="25" t="str">
        <f t="shared" si="26"/>
        <v/>
      </c>
      <c r="B80" s="269">
        <f t="shared" si="17"/>
        <v>45</v>
      </c>
      <c r="C80" s="270">
        <f t="shared" si="18"/>
        <v>3406</v>
      </c>
      <c r="D80" s="271">
        <f t="shared" si="27"/>
        <v>0</v>
      </c>
      <c r="E80" s="272">
        <f>IFERROR(IF(C79+D80&gt;=F80+((SUM($F$36:$F79)-ABS(SUM($E$36:$E79)))),-F80-((SUM($F$36:$F79)-ABS(SUM($E$36:$E79)))),-C79-D80),0)</f>
        <v>-1593</v>
      </c>
      <c r="F80" s="273">
        <v>1593</v>
      </c>
      <c r="G80" s="273">
        <f>Produtos!E46</f>
        <v>1593</v>
      </c>
      <c r="H80" s="272">
        <f t="shared" si="25"/>
        <v>0</v>
      </c>
      <c r="I80" s="274">
        <f t="shared" si="19"/>
        <v>14.351828626311095</v>
      </c>
      <c r="J80" s="275">
        <f t="shared" si="20"/>
        <v>48882.328301215588</v>
      </c>
      <c r="K80" s="274">
        <f t="shared" si="21"/>
        <v>0</v>
      </c>
      <c r="L80" s="274">
        <f t="shared" si="28"/>
        <v>0</v>
      </c>
      <c r="M80" s="274">
        <f t="shared" si="29"/>
        <v>0</v>
      </c>
      <c r="N80" s="274">
        <f t="shared" si="30"/>
        <v>19912.5</v>
      </c>
      <c r="O80" s="276">
        <f t="shared" si="22"/>
        <v>108675</v>
      </c>
      <c r="P80" s="277">
        <v>0</v>
      </c>
      <c r="Q80" s="271">
        <f t="shared" si="31"/>
        <v>0</v>
      </c>
      <c r="R80" s="278">
        <f t="shared" si="13"/>
        <v>0</v>
      </c>
      <c r="S80" s="279">
        <f t="shared" si="32"/>
        <v>0</v>
      </c>
      <c r="T80" s="275">
        <f t="shared" si="14"/>
        <v>0</v>
      </c>
      <c r="U80" s="280">
        <v>0</v>
      </c>
      <c r="V80" s="281">
        <f t="shared" si="33"/>
        <v>0</v>
      </c>
      <c r="W80" s="282">
        <f t="shared" si="23"/>
        <v>0</v>
      </c>
      <c r="X80" s="279">
        <f t="shared" si="34"/>
        <v>0</v>
      </c>
      <c r="Y80" s="284">
        <f t="shared" si="24"/>
        <v>0</v>
      </c>
      <c r="Z80" s="180">
        <v>3406</v>
      </c>
      <c r="AB80" s="34"/>
      <c r="AC80" s="184"/>
      <c r="AD80" s="185"/>
      <c r="AE80" s="185"/>
      <c r="AF80" s="185"/>
      <c r="AG80" s="185"/>
      <c r="AH80" s="185"/>
      <c r="AI80" s="186"/>
    </row>
    <row r="81" spans="1:35" ht="18.75" x14ac:dyDescent="0.25">
      <c r="A81" s="25" t="str">
        <f t="shared" si="26"/>
        <v/>
      </c>
      <c r="B81" s="269">
        <f t="shared" si="17"/>
        <v>46</v>
      </c>
      <c r="C81" s="270">
        <f t="shared" si="18"/>
        <v>3130</v>
      </c>
      <c r="D81" s="271">
        <f t="shared" si="27"/>
        <v>0</v>
      </c>
      <c r="E81" s="272">
        <f>IFERROR(IF(C80+D81&gt;=F81+((SUM($F$36:$F80)-ABS(SUM($E$36:$E80)))),-F81-((SUM($F$36:$F80)-ABS(SUM($E$36:$E80)))),-C80-D81),0)</f>
        <v>-276</v>
      </c>
      <c r="F81" s="273">
        <v>276</v>
      </c>
      <c r="G81" s="273">
        <f>Produtos!E47</f>
        <v>276</v>
      </c>
      <c r="H81" s="272">
        <f t="shared" si="25"/>
        <v>0</v>
      </c>
      <c r="I81" s="274">
        <f t="shared" si="19"/>
        <v>14.351828626311095</v>
      </c>
      <c r="J81" s="275">
        <f t="shared" si="20"/>
        <v>44921.223600353725</v>
      </c>
      <c r="K81" s="274">
        <f t="shared" si="21"/>
        <v>0</v>
      </c>
      <c r="L81" s="274">
        <f t="shared" si="28"/>
        <v>0</v>
      </c>
      <c r="M81" s="274">
        <f t="shared" si="29"/>
        <v>0</v>
      </c>
      <c r="N81" s="274">
        <f t="shared" si="30"/>
        <v>3450</v>
      </c>
      <c r="O81" s="276">
        <f t="shared" si="22"/>
        <v>112125</v>
      </c>
      <c r="P81" s="277">
        <v>0</v>
      </c>
      <c r="Q81" s="271">
        <f t="shared" si="31"/>
        <v>0</v>
      </c>
      <c r="R81" s="278">
        <f t="shared" si="13"/>
        <v>0</v>
      </c>
      <c r="S81" s="279">
        <f t="shared" si="32"/>
        <v>0</v>
      </c>
      <c r="T81" s="275">
        <f t="shared" si="14"/>
        <v>0</v>
      </c>
      <c r="U81" s="280">
        <v>0</v>
      </c>
      <c r="V81" s="281">
        <f t="shared" si="33"/>
        <v>0</v>
      </c>
      <c r="W81" s="282">
        <f t="shared" si="23"/>
        <v>0</v>
      </c>
      <c r="X81" s="279">
        <f t="shared" si="34"/>
        <v>0</v>
      </c>
      <c r="Y81" s="284">
        <f t="shared" si="24"/>
        <v>0</v>
      </c>
      <c r="Z81" s="180">
        <v>3130</v>
      </c>
      <c r="AB81" s="34"/>
      <c r="AC81" s="184"/>
      <c r="AD81" s="185"/>
      <c r="AE81" s="185"/>
      <c r="AF81" s="185"/>
      <c r="AG81" s="185"/>
      <c r="AH81" s="185"/>
      <c r="AI81" s="186"/>
    </row>
    <row r="82" spans="1:35" ht="18.75" x14ac:dyDescent="0.25">
      <c r="A82" s="25" t="str">
        <f t="shared" si="26"/>
        <v/>
      </c>
      <c r="B82" s="269">
        <f t="shared" si="17"/>
        <v>47</v>
      </c>
      <c r="C82" s="270">
        <f t="shared" si="18"/>
        <v>8730</v>
      </c>
      <c r="D82" s="271">
        <f t="shared" si="27"/>
        <v>7500</v>
      </c>
      <c r="E82" s="272">
        <f>IFERROR(IF(C81+D82&gt;=F82+((SUM($F$36:$F81)-ABS(SUM($E$36:$E81)))),-F82-((SUM($F$36:$F81)-ABS(SUM($E$36:$E81)))),-C81-D82),0)</f>
        <v>-1900</v>
      </c>
      <c r="F82" s="273">
        <v>1900</v>
      </c>
      <c r="G82" s="273">
        <f>Produtos!E48</f>
        <v>1900</v>
      </c>
      <c r="H82" s="272">
        <f t="shared" si="25"/>
        <v>0</v>
      </c>
      <c r="I82" s="274">
        <f t="shared" si="19"/>
        <v>13.736680824782786</v>
      </c>
      <c r="J82" s="275">
        <f t="shared" si="20"/>
        <v>119921.22360035373</v>
      </c>
      <c r="K82" s="274">
        <f t="shared" si="21"/>
        <v>75000</v>
      </c>
      <c r="L82" s="274">
        <f t="shared" si="28"/>
        <v>75000</v>
      </c>
      <c r="M82" s="274">
        <f t="shared" si="29"/>
        <v>0</v>
      </c>
      <c r="N82" s="274">
        <f t="shared" si="30"/>
        <v>23750</v>
      </c>
      <c r="O82" s="276">
        <f t="shared" si="22"/>
        <v>60875</v>
      </c>
      <c r="P82" s="277">
        <v>6600</v>
      </c>
      <c r="Q82" s="271">
        <f t="shared" si="31"/>
        <v>52</v>
      </c>
      <c r="R82" s="278">
        <f t="shared" si="13"/>
        <v>6600</v>
      </c>
      <c r="S82" s="279">
        <f t="shared" si="32"/>
        <v>10</v>
      </c>
      <c r="T82" s="275">
        <f t="shared" si="14"/>
        <v>66000</v>
      </c>
      <c r="U82" s="280">
        <v>0</v>
      </c>
      <c r="V82" s="281">
        <f t="shared" si="33"/>
        <v>0</v>
      </c>
      <c r="W82" s="282">
        <f t="shared" si="23"/>
        <v>0</v>
      </c>
      <c r="X82" s="279">
        <f t="shared" si="34"/>
        <v>0</v>
      </c>
      <c r="Y82" s="284">
        <f t="shared" si="24"/>
        <v>0</v>
      </c>
      <c r="Z82" s="180">
        <v>8730</v>
      </c>
      <c r="AA82" s="35"/>
      <c r="AC82" s="184"/>
      <c r="AD82" s="185"/>
      <c r="AE82" s="185"/>
      <c r="AF82" s="185"/>
      <c r="AG82" s="185"/>
      <c r="AH82" s="185"/>
      <c r="AI82" s="186"/>
    </row>
    <row r="83" spans="1:35" ht="18.75" x14ac:dyDescent="0.25">
      <c r="A83" s="25" t="str">
        <f t="shared" si="26"/>
        <v/>
      </c>
      <c r="B83" s="269">
        <f t="shared" si="17"/>
        <v>48</v>
      </c>
      <c r="C83" s="270">
        <f t="shared" si="18"/>
        <v>6322</v>
      </c>
      <c r="D83" s="271">
        <f t="shared" si="27"/>
        <v>0</v>
      </c>
      <c r="E83" s="272">
        <f>IFERROR(IF(C82+D83&gt;=F83+((SUM($F$36:$F82)-ABS(SUM($E$36:$E82)))),-F83-((SUM($F$36:$F82)-ABS(SUM($E$36:$E82)))),-C82-D83),0)</f>
        <v>-2408</v>
      </c>
      <c r="F83" s="273">
        <v>2408</v>
      </c>
      <c r="G83" s="273">
        <f>Produtos!E49</f>
        <v>2408</v>
      </c>
      <c r="H83" s="272">
        <f t="shared" si="25"/>
        <v>0</v>
      </c>
      <c r="I83" s="274">
        <f t="shared" si="19"/>
        <v>13.736680824782786</v>
      </c>
      <c r="J83" s="275">
        <f t="shared" si="20"/>
        <v>86843.296174276766</v>
      </c>
      <c r="K83" s="274">
        <f t="shared" si="21"/>
        <v>0</v>
      </c>
      <c r="L83" s="274">
        <f t="shared" si="28"/>
        <v>0</v>
      </c>
      <c r="M83" s="274">
        <f t="shared" si="29"/>
        <v>0</v>
      </c>
      <c r="N83" s="274">
        <f t="shared" si="30"/>
        <v>30100</v>
      </c>
      <c r="O83" s="276">
        <f t="shared" si="22"/>
        <v>90975</v>
      </c>
      <c r="P83" s="277">
        <v>0</v>
      </c>
      <c r="Q83" s="271">
        <f t="shared" si="31"/>
        <v>0</v>
      </c>
      <c r="R83" s="278">
        <f t="shared" si="13"/>
        <v>0</v>
      </c>
      <c r="S83" s="279">
        <f t="shared" si="32"/>
        <v>0</v>
      </c>
      <c r="T83" s="275">
        <f t="shared" si="14"/>
        <v>0</v>
      </c>
      <c r="U83" s="280">
        <v>0</v>
      </c>
      <c r="V83" s="281">
        <f t="shared" si="33"/>
        <v>0</v>
      </c>
      <c r="W83" s="282">
        <f t="shared" si="23"/>
        <v>0</v>
      </c>
      <c r="X83" s="279">
        <f t="shared" si="34"/>
        <v>0</v>
      </c>
      <c r="Y83" s="284">
        <f t="shared" si="24"/>
        <v>0</v>
      </c>
      <c r="Z83" s="180">
        <v>6322</v>
      </c>
      <c r="AB83" s="34"/>
      <c r="AC83" s="184"/>
      <c r="AD83" s="185"/>
      <c r="AE83" s="185"/>
      <c r="AF83" s="185"/>
      <c r="AG83" s="185"/>
      <c r="AH83" s="185"/>
      <c r="AI83" s="186"/>
    </row>
    <row r="84" spans="1:35" ht="18.75" x14ac:dyDescent="0.25">
      <c r="A84" s="25" t="str">
        <f t="shared" si="26"/>
        <v/>
      </c>
      <c r="B84" s="269">
        <f t="shared" si="17"/>
        <v>49</v>
      </c>
      <c r="C84" s="270">
        <f t="shared" si="18"/>
        <v>5846</v>
      </c>
      <c r="D84" s="271">
        <f t="shared" si="27"/>
        <v>0</v>
      </c>
      <c r="E84" s="272">
        <f>IFERROR(IF(C83+D84&gt;=F84+((SUM($F$36:$F83)-ABS(SUM($E$36:$E83)))),-F84-((SUM($F$36:$F83)-ABS(SUM($E$36:$E83)))),-C83-D84),0)</f>
        <v>-476</v>
      </c>
      <c r="F84" s="273">
        <v>476</v>
      </c>
      <c r="G84" s="273">
        <f>Produtos!E50</f>
        <v>476</v>
      </c>
      <c r="H84" s="272">
        <f t="shared" si="25"/>
        <v>0</v>
      </c>
      <c r="I84" s="274">
        <f t="shared" si="19"/>
        <v>13.736680824782786</v>
      </c>
      <c r="J84" s="275">
        <f t="shared" si="20"/>
        <v>80304.636101680167</v>
      </c>
      <c r="K84" s="274">
        <f t="shared" si="21"/>
        <v>0</v>
      </c>
      <c r="L84" s="274">
        <f t="shared" si="28"/>
        <v>0</v>
      </c>
      <c r="M84" s="274">
        <f t="shared" si="29"/>
        <v>0</v>
      </c>
      <c r="N84" s="274">
        <f t="shared" si="30"/>
        <v>5950</v>
      </c>
      <c r="O84" s="276">
        <f t="shared" si="22"/>
        <v>96925</v>
      </c>
      <c r="P84" s="277">
        <v>0</v>
      </c>
      <c r="Q84" s="271">
        <f t="shared" si="31"/>
        <v>0</v>
      </c>
      <c r="R84" s="278">
        <f t="shared" si="13"/>
        <v>0</v>
      </c>
      <c r="S84" s="279">
        <f t="shared" si="32"/>
        <v>0</v>
      </c>
      <c r="T84" s="275">
        <f t="shared" si="14"/>
        <v>0</v>
      </c>
      <c r="U84" s="280">
        <v>0</v>
      </c>
      <c r="V84" s="281">
        <f t="shared" si="33"/>
        <v>0</v>
      </c>
      <c r="W84" s="282">
        <f t="shared" si="23"/>
        <v>0</v>
      </c>
      <c r="X84" s="279">
        <f t="shared" si="34"/>
        <v>0</v>
      </c>
      <c r="Y84" s="284">
        <f t="shared" si="24"/>
        <v>0</v>
      </c>
      <c r="Z84" s="180">
        <v>5846</v>
      </c>
      <c r="AA84" s="35"/>
      <c r="AB84" s="35"/>
      <c r="AC84" s="184"/>
      <c r="AD84" s="185"/>
      <c r="AE84" s="185"/>
      <c r="AF84" s="185"/>
      <c r="AG84" s="185"/>
      <c r="AH84" s="185"/>
      <c r="AI84" s="186"/>
    </row>
    <row r="85" spans="1:35" ht="18.75" x14ac:dyDescent="0.25">
      <c r="A85" s="25" t="str">
        <f t="shared" si="26"/>
        <v/>
      </c>
      <c r="B85" s="269">
        <f t="shared" si="17"/>
        <v>50</v>
      </c>
      <c r="C85" s="270">
        <f t="shared" si="18"/>
        <v>3933</v>
      </c>
      <c r="D85" s="271">
        <f t="shared" si="27"/>
        <v>0</v>
      </c>
      <c r="E85" s="272">
        <f>IFERROR(IF(C84+D85&gt;=F85+((SUM($F$36:$F84)-ABS(SUM($E$36:$E84)))),-F85-((SUM($F$36:$F84)-ABS(SUM($E$36:$E84)))),-C84-D85),0)</f>
        <v>-1913</v>
      </c>
      <c r="F85" s="273">
        <v>1913</v>
      </c>
      <c r="G85" s="273">
        <f>Produtos!E51</f>
        <v>1913</v>
      </c>
      <c r="H85" s="272">
        <f t="shared" si="25"/>
        <v>0</v>
      </c>
      <c r="I85" s="274">
        <f t="shared" si="19"/>
        <v>13.736680824782786</v>
      </c>
      <c r="J85" s="275">
        <f t="shared" si="20"/>
        <v>54026.365683870696</v>
      </c>
      <c r="K85" s="274">
        <f t="shared" si="21"/>
        <v>0</v>
      </c>
      <c r="L85" s="274">
        <f t="shared" si="28"/>
        <v>0</v>
      </c>
      <c r="M85" s="274">
        <f t="shared" si="29"/>
        <v>0</v>
      </c>
      <c r="N85" s="274">
        <f t="shared" si="30"/>
        <v>23912.5</v>
      </c>
      <c r="O85" s="276">
        <f t="shared" si="22"/>
        <v>120837.5</v>
      </c>
      <c r="P85" s="277">
        <v>0</v>
      </c>
      <c r="Q85" s="271">
        <f t="shared" si="31"/>
        <v>0</v>
      </c>
      <c r="R85" s="278">
        <f t="shared" si="13"/>
        <v>0</v>
      </c>
      <c r="S85" s="279">
        <f t="shared" si="32"/>
        <v>0</v>
      </c>
      <c r="T85" s="275">
        <f t="shared" si="14"/>
        <v>0</v>
      </c>
      <c r="U85" s="280">
        <v>0</v>
      </c>
      <c r="V85" s="281">
        <f t="shared" si="33"/>
        <v>0</v>
      </c>
      <c r="W85" s="282">
        <f t="shared" si="23"/>
        <v>0</v>
      </c>
      <c r="X85" s="279">
        <f t="shared" si="34"/>
        <v>0</v>
      </c>
      <c r="Y85" s="284">
        <f t="shared" si="24"/>
        <v>0</v>
      </c>
      <c r="Z85" s="180">
        <v>3933</v>
      </c>
      <c r="AA85" s="35"/>
      <c r="AB85" s="35"/>
      <c r="AC85" s="184"/>
      <c r="AD85" s="185"/>
      <c r="AE85" s="185"/>
      <c r="AF85" s="185"/>
      <c r="AG85" s="185"/>
      <c r="AH85" s="185"/>
      <c r="AI85" s="186"/>
    </row>
    <row r="86" spans="1:35" ht="18.75" x14ac:dyDescent="0.25">
      <c r="A86" s="25" t="str">
        <f t="shared" si="26"/>
        <v/>
      </c>
      <c r="B86" s="269">
        <f t="shared" si="17"/>
        <v>51</v>
      </c>
      <c r="C86" s="270">
        <f t="shared" si="18"/>
        <v>3189</v>
      </c>
      <c r="D86" s="271">
        <f t="shared" si="27"/>
        <v>0</v>
      </c>
      <c r="E86" s="272">
        <f>IFERROR(IF(C85+D86&gt;=F86+((SUM($F$36:$F85)-ABS(SUM($E$36:$E85)))),-F86-((SUM($F$36:$F85)-ABS(SUM($E$36:$E85)))),-C85-D86),0)</f>
        <v>-744</v>
      </c>
      <c r="F86" s="273">
        <v>744</v>
      </c>
      <c r="G86" s="273">
        <f>Produtos!E52</f>
        <v>744</v>
      </c>
      <c r="H86" s="272">
        <f t="shared" si="25"/>
        <v>0</v>
      </c>
      <c r="I86" s="274">
        <f t="shared" si="19"/>
        <v>13.736680824782786</v>
      </c>
      <c r="J86" s="275">
        <f t="shared" si="20"/>
        <v>43806.275150232301</v>
      </c>
      <c r="K86" s="274">
        <f t="shared" si="21"/>
        <v>0</v>
      </c>
      <c r="L86" s="274">
        <f t="shared" si="28"/>
        <v>0</v>
      </c>
      <c r="M86" s="274">
        <f t="shared" si="29"/>
        <v>0</v>
      </c>
      <c r="N86" s="274">
        <f t="shared" si="30"/>
        <v>9300</v>
      </c>
      <c r="O86" s="276">
        <f t="shared" si="22"/>
        <v>130137.5</v>
      </c>
      <c r="P86" s="277">
        <v>3100</v>
      </c>
      <c r="Q86" s="271">
        <f t="shared" si="31"/>
        <v>56</v>
      </c>
      <c r="R86" s="278">
        <f t="shared" si="13"/>
        <v>3100</v>
      </c>
      <c r="S86" s="279">
        <f t="shared" si="32"/>
        <v>10</v>
      </c>
      <c r="T86" s="275">
        <f t="shared" si="14"/>
        <v>31000</v>
      </c>
      <c r="U86" s="280">
        <v>0</v>
      </c>
      <c r="V86" s="281">
        <f t="shared" si="33"/>
        <v>0</v>
      </c>
      <c r="W86" s="282">
        <f t="shared" si="23"/>
        <v>0</v>
      </c>
      <c r="X86" s="279">
        <f t="shared" si="34"/>
        <v>0</v>
      </c>
      <c r="Y86" s="284">
        <f t="shared" si="24"/>
        <v>0</v>
      </c>
      <c r="Z86" s="180">
        <v>3189</v>
      </c>
      <c r="AA86" s="35"/>
      <c r="AB86" s="172"/>
      <c r="AC86" s="184"/>
      <c r="AD86" s="185"/>
      <c r="AE86" s="185"/>
      <c r="AF86" s="185"/>
      <c r="AG86" s="185"/>
      <c r="AH86" s="185"/>
      <c r="AI86" s="186"/>
    </row>
    <row r="87" spans="1:35" ht="18.75" x14ac:dyDescent="0.25">
      <c r="A87" s="25" t="str">
        <f t="shared" si="26"/>
        <v/>
      </c>
      <c r="B87" s="269">
        <f t="shared" si="17"/>
        <v>52</v>
      </c>
      <c r="C87" s="270">
        <f t="shared" si="18"/>
        <v>7532</v>
      </c>
      <c r="D87" s="271">
        <f t="shared" si="27"/>
        <v>6600</v>
      </c>
      <c r="E87" s="272">
        <f>IFERROR(IF(C86+D87&gt;=F87+((SUM($F$36:$F86)-ABS(SUM($E$36:$E86)))),-F87-((SUM($F$36:$F86)-ABS(SUM($E$36:$E86)))),-C86-D87),0)</f>
        <v>-2257</v>
      </c>
      <c r="F87" s="273">
        <v>2257</v>
      </c>
      <c r="G87" s="273">
        <f>Produtos!E53</f>
        <v>2257</v>
      </c>
      <c r="H87" s="272">
        <f t="shared" si="25"/>
        <v>0</v>
      </c>
      <c r="I87" s="274">
        <f t="shared" si="19"/>
        <v>14.578634512776462</v>
      </c>
      <c r="J87" s="275">
        <f t="shared" si="20"/>
        <v>109806.27515023231</v>
      </c>
      <c r="K87" s="274">
        <f t="shared" si="21"/>
        <v>66000</v>
      </c>
      <c r="L87" s="274">
        <f t="shared" si="28"/>
        <v>66000</v>
      </c>
      <c r="M87" s="274">
        <f t="shared" si="29"/>
        <v>0</v>
      </c>
      <c r="N87" s="274">
        <f t="shared" si="30"/>
        <v>28212.5</v>
      </c>
      <c r="O87" s="276">
        <f t="shared" si="22"/>
        <v>92350</v>
      </c>
      <c r="P87" s="277">
        <v>0</v>
      </c>
      <c r="Q87" s="271">
        <f t="shared" si="31"/>
        <v>0</v>
      </c>
      <c r="R87" s="278">
        <f t="shared" si="13"/>
        <v>0</v>
      </c>
      <c r="S87" s="279">
        <f t="shared" si="32"/>
        <v>0</v>
      </c>
      <c r="T87" s="275">
        <f t="shared" si="14"/>
        <v>0</v>
      </c>
      <c r="U87" s="280">
        <v>0</v>
      </c>
      <c r="V87" s="281">
        <f t="shared" si="33"/>
        <v>0</v>
      </c>
      <c r="W87" s="282">
        <f t="shared" si="23"/>
        <v>0</v>
      </c>
      <c r="X87" s="279">
        <f t="shared" si="34"/>
        <v>0</v>
      </c>
      <c r="Y87" s="284">
        <f t="shared" si="24"/>
        <v>0</v>
      </c>
      <c r="Z87" s="180">
        <v>7532</v>
      </c>
      <c r="AA87" s="35"/>
      <c r="AB87" s="35"/>
      <c r="AC87" s="184"/>
      <c r="AD87" s="185"/>
      <c r="AE87" s="185"/>
      <c r="AF87" s="185"/>
      <c r="AG87" s="185"/>
      <c r="AH87" s="185"/>
      <c r="AI87" s="186"/>
    </row>
    <row r="88" spans="1:35" ht="18.75" x14ac:dyDescent="0.25">
      <c r="A88" s="25" t="str">
        <f t="shared" si="26"/>
        <v/>
      </c>
      <c r="B88" s="269">
        <f t="shared" si="17"/>
        <v>53</v>
      </c>
      <c r="C88" s="270">
        <f t="shared" si="18"/>
        <v>5572</v>
      </c>
      <c r="D88" s="271">
        <f t="shared" si="27"/>
        <v>0</v>
      </c>
      <c r="E88" s="272">
        <f>IFERROR(IF(C87+D88&gt;=F88+((SUM($F$36:$F87)-ABS(SUM($E$36:$E87)))),-F88-((SUM($F$36:$F87)-ABS(SUM($E$36:$E87)))),-C87-D88),0)</f>
        <v>-1960</v>
      </c>
      <c r="F88" s="273">
        <v>1960</v>
      </c>
      <c r="G88" s="273">
        <f>Produtos!E54</f>
        <v>1960</v>
      </c>
      <c r="H88" s="272">
        <f t="shared" si="25"/>
        <v>0</v>
      </c>
      <c r="I88" s="274">
        <f t="shared" si="19"/>
        <v>14.578634512776462</v>
      </c>
      <c r="J88" s="275">
        <f t="shared" si="20"/>
        <v>81232.151505190443</v>
      </c>
      <c r="K88" s="274">
        <f t="shared" si="21"/>
        <v>0</v>
      </c>
      <c r="L88" s="274">
        <f t="shared" si="28"/>
        <v>0</v>
      </c>
      <c r="M88" s="274">
        <f t="shared" si="29"/>
        <v>0</v>
      </c>
      <c r="N88" s="274">
        <f t="shared" si="30"/>
        <v>24500</v>
      </c>
      <c r="O88" s="276">
        <f t="shared" si="22"/>
        <v>116850</v>
      </c>
      <c r="P88" s="277">
        <v>0</v>
      </c>
      <c r="Q88" s="271">
        <f t="shared" si="31"/>
        <v>0</v>
      </c>
      <c r="R88" s="278">
        <f t="shared" si="13"/>
        <v>0</v>
      </c>
      <c r="S88" s="279">
        <f t="shared" si="32"/>
        <v>0</v>
      </c>
      <c r="T88" s="275">
        <f t="shared" si="14"/>
        <v>0</v>
      </c>
      <c r="U88" s="280">
        <v>0</v>
      </c>
      <c r="V88" s="281">
        <f t="shared" si="33"/>
        <v>0</v>
      </c>
      <c r="W88" s="282">
        <f t="shared" si="23"/>
        <v>0</v>
      </c>
      <c r="X88" s="279">
        <f t="shared" si="34"/>
        <v>0</v>
      </c>
      <c r="Y88" s="284">
        <f t="shared" si="24"/>
        <v>0</v>
      </c>
      <c r="Z88" s="180">
        <v>5572</v>
      </c>
      <c r="AC88" s="184"/>
      <c r="AD88" s="185"/>
      <c r="AE88" s="185"/>
      <c r="AF88" s="185"/>
      <c r="AG88" s="185"/>
      <c r="AH88" s="185"/>
      <c r="AI88" s="186"/>
    </row>
    <row r="89" spans="1:35" ht="18.75" x14ac:dyDescent="0.25">
      <c r="A89" s="25" t="str">
        <f t="shared" si="26"/>
        <v/>
      </c>
      <c r="B89" s="269">
        <f t="shared" si="17"/>
        <v>54</v>
      </c>
      <c r="C89" s="270">
        <f t="shared" si="18"/>
        <v>5113</v>
      </c>
      <c r="D89" s="271">
        <f t="shared" si="27"/>
        <v>0</v>
      </c>
      <c r="E89" s="272">
        <f>IFERROR(IF(C88+D89&gt;=F89+((SUM($F$36:$F88)-ABS(SUM($E$36:$E88)))),-F89-((SUM($F$36:$F88)-ABS(SUM($E$36:$E88)))),-C88-D89),0)</f>
        <v>-459</v>
      </c>
      <c r="F89" s="273">
        <v>459</v>
      </c>
      <c r="G89" s="273">
        <f>Produtos!E55</f>
        <v>459</v>
      </c>
      <c r="H89" s="272">
        <f t="shared" si="25"/>
        <v>0</v>
      </c>
      <c r="I89" s="274">
        <f t="shared" si="19"/>
        <v>14.578634512776462</v>
      </c>
      <c r="J89" s="275">
        <f t="shared" si="20"/>
        <v>74540.558263826053</v>
      </c>
      <c r="K89" s="274">
        <f t="shared" si="21"/>
        <v>0</v>
      </c>
      <c r="L89" s="274">
        <f t="shared" si="28"/>
        <v>0</v>
      </c>
      <c r="M89" s="274">
        <f t="shared" si="29"/>
        <v>0</v>
      </c>
      <c r="N89" s="274">
        <f t="shared" si="30"/>
        <v>5737.5</v>
      </c>
      <c r="O89" s="276">
        <f t="shared" si="22"/>
        <v>122587.5</v>
      </c>
      <c r="P89" s="277">
        <v>0</v>
      </c>
      <c r="Q89" s="271">
        <f t="shared" si="31"/>
        <v>0</v>
      </c>
      <c r="R89" s="278">
        <f t="shared" si="13"/>
        <v>0</v>
      </c>
      <c r="S89" s="279">
        <f t="shared" si="32"/>
        <v>0</v>
      </c>
      <c r="T89" s="275">
        <f t="shared" si="14"/>
        <v>0</v>
      </c>
      <c r="U89" s="280">
        <v>0</v>
      </c>
      <c r="V89" s="281">
        <f t="shared" si="33"/>
        <v>0</v>
      </c>
      <c r="W89" s="282">
        <f t="shared" si="23"/>
        <v>0</v>
      </c>
      <c r="X89" s="279">
        <f t="shared" si="34"/>
        <v>0</v>
      </c>
      <c r="Y89" s="284">
        <f t="shared" si="24"/>
        <v>0</v>
      </c>
      <c r="Z89" s="180">
        <v>5113</v>
      </c>
      <c r="AA89" s="8"/>
      <c r="AB89" s="8"/>
      <c r="AC89" s="184"/>
      <c r="AD89" s="185"/>
      <c r="AE89" s="185"/>
      <c r="AF89" s="185"/>
      <c r="AG89" s="185"/>
      <c r="AH89" s="185"/>
      <c r="AI89" s="186"/>
    </row>
    <row r="90" spans="1:35" ht="18.75" x14ac:dyDescent="0.25">
      <c r="A90" s="25" t="str">
        <f t="shared" si="26"/>
        <v/>
      </c>
      <c r="B90" s="269">
        <f t="shared" si="17"/>
        <v>55</v>
      </c>
      <c r="C90" s="270">
        <f t="shared" si="18"/>
        <v>3437</v>
      </c>
      <c r="D90" s="271">
        <f t="shared" si="27"/>
        <v>0</v>
      </c>
      <c r="E90" s="272">
        <f>IFERROR(IF(C89+D90&gt;=F90+((SUM($F$36:$F89)-ABS(SUM($E$36:$E89)))),-F90-((SUM($F$36:$F89)-ABS(SUM($E$36:$E89)))),-C89-D90),0)</f>
        <v>-1676</v>
      </c>
      <c r="F90" s="273">
        <v>1676</v>
      </c>
      <c r="G90" s="273">
        <f>Produtos!E56</f>
        <v>1676</v>
      </c>
      <c r="H90" s="272">
        <f t="shared" si="25"/>
        <v>0</v>
      </c>
      <c r="I90" s="274">
        <f t="shared" si="19"/>
        <v>14.578634512776462</v>
      </c>
      <c r="J90" s="275">
        <f t="shared" si="20"/>
        <v>50106.766820412704</v>
      </c>
      <c r="K90" s="274">
        <f t="shared" si="21"/>
        <v>0</v>
      </c>
      <c r="L90" s="274">
        <f t="shared" si="28"/>
        <v>0</v>
      </c>
      <c r="M90" s="274">
        <f t="shared" si="29"/>
        <v>0</v>
      </c>
      <c r="N90" s="274">
        <f t="shared" si="30"/>
        <v>20950</v>
      </c>
      <c r="O90" s="276">
        <f t="shared" si="22"/>
        <v>143537.5</v>
      </c>
      <c r="P90" s="277">
        <v>0</v>
      </c>
      <c r="Q90" s="271">
        <f t="shared" si="31"/>
        <v>0</v>
      </c>
      <c r="R90" s="278">
        <f t="shared" si="13"/>
        <v>0</v>
      </c>
      <c r="S90" s="279">
        <f t="shared" si="32"/>
        <v>0</v>
      </c>
      <c r="T90" s="275">
        <f t="shared" si="14"/>
        <v>0</v>
      </c>
      <c r="U90" s="280">
        <v>0</v>
      </c>
      <c r="V90" s="281">
        <f t="shared" si="33"/>
        <v>0</v>
      </c>
      <c r="W90" s="282">
        <f t="shared" si="23"/>
        <v>0</v>
      </c>
      <c r="X90" s="279">
        <f t="shared" si="34"/>
        <v>0</v>
      </c>
      <c r="Y90" s="284">
        <f t="shared" si="24"/>
        <v>0</v>
      </c>
      <c r="Z90" s="180">
        <v>3437</v>
      </c>
      <c r="AA90" s="8"/>
      <c r="AB90" s="8"/>
      <c r="AC90" s="184"/>
      <c r="AD90" s="185"/>
      <c r="AE90" s="185"/>
      <c r="AF90" s="185"/>
      <c r="AG90" s="185"/>
      <c r="AH90" s="185"/>
      <c r="AI90" s="186"/>
    </row>
    <row r="91" spans="1:35" ht="18.75" x14ac:dyDescent="0.25">
      <c r="A91" s="25" t="str">
        <f t="shared" si="26"/>
        <v/>
      </c>
      <c r="B91" s="269">
        <f t="shared" si="17"/>
        <v>56</v>
      </c>
      <c r="C91" s="270">
        <f t="shared" si="18"/>
        <v>6317</v>
      </c>
      <c r="D91" s="271">
        <f t="shared" si="27"/>
        <v>3100</v>
      </c>
      <c r="E91" s="272">
        <f>IFERROR(IF(C90+D91&gt;=F91+((SUM($F$36:$F90)-ABS(SUM($E$36:$E90)))),-F91-((SUM($F$36:$F90)-ABS(SUM($E$36:$E90)))),-C90-D91),0)</f>
        <v>-220</v>
      </c>
      <c r="F91" s="273">
        <v>220</v>
      </c>
      <c r="G91" s="273">
        <f>Produtos!E57</f>
        <v>220</v>
      </c>
      <c r="H91" s="272">
        <f t="shared" si="25"/>
        <v>0</v>
      </c>
      <c r="I91" s="274">
        <f t="shared" si="19"/>
        <v>12.839443853160157</v>
      </c>
      <c r="J91" s="275">
        <f t="shared" si="20"/>
        <v>81106.766820412711</v>
      </c>
      <c r="K91" s="274">
        <f t="shared" si="21"/>
        <v>31000</v>
      </c>
      <c r="L91" s="274">
        <f t="shared" si="28"/>
        <v>31000</v>
      </c>
      <c r="M91" s="274">
        <f t="shared" si="29"/>
        <v>0</v>
      </c>
      <c r="N91" s="274">
        <f t="shared" si="30"/>
        <v>2750</v>
      </c>
      <c r="O91" s="276">
        <f t="shared" si="22"/>
        <v>115287.5</v>
      </c>
      <c r="P91" s="277">
        <v>0</v>
      </c>
      <c r="Q91" s="271">
        <f t="shared" si="31"/>
        <v>0</v>
      </c>
      <c r="R91" s="278">
        <f t="shared" si="13"/>
        <v>0</v>
      </c>
      <c r="S91" s="279">
        <f t="shared" si="32"/>
        <v>0</v>
      </c>
      <c r="T91" s="275">
        <f t="shared" si="14"/>
        <v>0</v>
      </c>
      <c r="U91" s="280">
        <v>0</v>
      </c>
      <c r="V91" s="281">
        <f t="shared" si="33"/>
        <v>0</v>
      </c>
      <c r="W91" s="282">
        <f t="shared" si="23"/>
        <v>0</v>
      </c>
      <c r="X91" s="279">
        <f t="shared" si="34"/>
        <v>0</v>
      </c>
      <c r="Y91" s="284">
        <f t="shared" si="24"/>
        <v>0</v>
      </c>
      <c r="Z91" s="180">
        <v>6317</v>
      </c>
      <c r="AB91" s="8"/>
      <c r="AC91" s="184"/>
      <c r="AD91" s="185"/>
      <c r="AE91" s="185"/>
      <c r="AF91" s="185"/>
      <c r="AG91" s="185"/>
      <c r="AH91" s="185"/>
      <c r="AI91" s="186"/>
    </row>
    <row r="92" spans="1:35" ht="18.75" x14ac:dyDescent="0.25">
      <c r="A92" s="25" t="str">
        <f t="shared" si="26"/>
        <v/>
      </c>
      <c r="B92" s="269">
        <f t="shared" si="17"/>
        <v>57</v>
      </c>
      <c r="C92" s="270">
        <f t="shared" si="18"/>
        <v>4024</v>
      </c>
      <c r="D92" s="271">
        <f t="shared" si="27"/>
        <v>0</v>
      </c>
      <c r="E92" s="272">
        <f>IFERROR(IF(C91+D92&gt;=F92+((SUM($F$36:$F91)-ABS(SUM($E$36:$E91)))),-F92-((SUM($F$36:$F91)-ABS(SUM($E$36:$E91)))),-C91-D92),0)</f>
        <v>-2293</v>
      </c>
      <c r="F92" s="273">
        <v>2293</v>
      </c>
      <c r="G92" s="273">
        <f>Produtos!E58</f>
        <v>2293</v>
      </c>
      <c r="H92" s="272">
        <f t="shared" si="25"/>
        <v>0</v>
      </c>
      <c r="I92" s="274">
        <f t="shared" si="19"/>
        <v>12.839443853160157</v>
      </c>
      <c r="J92" s="275">
        <f t="shared" si="20"/>
        <v>51665.922065116472</v>
      </c>
      <c r="K92" s="274">
        <f t="shared" si="21"/>
        <v>0</v>
      </c>
      <c r="L92" s="274">
        <f t="shared" si="28"/>
        <v>0</v>
      </c>
      <c r="M92" s="274">
        <f t="shared" si="29"/>
        <v>0</v>
      </c>
      <c r="N92" s="274">
        <f t="shared" si="30"/>
        <v>28662.5</v>
      </c>
      <c r="O92" s="276">
        <f t="shared" si="22"/>
        <v>143950</v>
      </c>
      <c r="P92" s="277">
        <v>0</v>
      </c>
      <c r="Q92" s="271">
        <f t="shared" si="31"/>
        <v>0</v>
      </c>
      <c r="R92" s="278">
        <f t="shared" si="13"/>
        <v>0</v>
      </c>
      <c r="S92" s="279">
        <f t="shared" si="32"/>
        <v>0</v>
      </c>
      <c r="T92" s="275">
        <f t="shared" si="14"/>
        <v>0</v>
      </c>
      <c r="U92" s="280">
        <v>0</v>
      </c>
      <c r="V92" s="281">
        <f t="shared" si="33"/>
        <v>0</v>
      </c>
      <c r="W92" s="282">
        <f t="shared" si="23"/>
        <v>0</v>
      </c>
      <c r="X92" s="279">
        <f t="shared" si="34"/>
        <v>0</v>
      </c>
      <c r="Y92" s="284">
        <f t="shared" si="24"/>
        <v>0</v>
      </c>
      <c r="Z92" s="180">
        <v>4024</v>
      </c>
      <c r="AA92" s="35"/>
      <c r="AB92" s="34"/>
      <c r="AC92" s="184"/>
      <c r="AD92" s="185"/>
      <c r="AE92" s="185"/>
      <c r="AF92" s="185"/>
      <c r="AG92" s="185"/>
      <c r="AH92" s="185"/>
      <c r="AI92" s="186"/>
    </row>
    <row r="93" spans="1:35" ht="18.75" x14ac:dyDescent="0.25">
      <c r="A93" s="25" t="str">
        <f t="shared" si="26"/>
        <v/>
      </c>
      <c r="B93" s="269">
        <f t="shared" si="17"/>
        <v>58</v>
      </c>
      <c r="C93" s="270">
        <f t="shared" si="18"/>
        <v>2547</v>
      </c>
      <c r="D93" s="271">
        <f t="shared" si="27"/>
        <v>0</v>
      </c>
      <c r="E93" s="272">
        <f>IFERROR(IF(C92+D93&gt;=F93+((SUM($F$36:$F92)-ABS(SUM($E$36:$E92)))),-F93-((SUM($F$36:$F92)-ABS(SUM($E$36:$E92)))),-C92-D93),0)</f>
        <v>-1477</v>
      </c>
      <c r="F93" s="273">
        <v>1477</v>
      </c>
      <c r="G93" s="273">
        <f>Produtos!E59</f>
        <v>1477</v>
      </c>
      <c r="H93" s="272">
        <f t="shared" si="25"/>
        <v>0</v>
      </c>
      <c r="I93" s="274">
        <f t="shared" si="19"/>
        <v>12.839443853160157</v>
      </c>
      <c r="J93" s="275">
        <f t="shared" si="20"/>
        <v>32702.063493998921</v>
      </c>
      <c r="K93" s="274">
        <f t="shared" si="21"/>
        <v>0</v>
      </c>
      <c r="L93" s="274">
        <f t="shared" si="28"/>
        <v>0</v>
      </c>
      <c r="M93" s="274">
        <f t="shared" si="29"/>
        <v>0</v>
      </c>
      <c r="N93" s="274">
        <f t="shared" si="30"/>
        <v>18462.5</v>
      </c>
      <c r="O93" s="276">
        <f t="shared" si="22"/>
        <v>162412.5</v>
      </c>
      <c r="P93" s="277">
        <v>0</v>
      </c>
      <c r="Q93" s="271">
        <f t="shared" si="31"/>
        <v>0</v>
      </c>
      <c r="R93" s="278">
        <f t="shared" si="13"/>
        <v>0</v>
      </c>
      <c r="S93" s="279">
        <f t="shared" si="32"/>
        <v>0</v>
      </c>
      <c r="T93" s="275">
        <f t="shared" si="14"/>
        <v>0</v>
      </c>
      <c r="U93" s="280">
        <v>0</v>
      </c>
      <c r="V93" s="281">
        <f t="shared" si="33"/>
        <v>0</v>
      </c>
      <c r="W93" s="282">
        <f t="shared" si="23"/>
        <v>0</v>
      </c>
      <c r="X93" s="279">
        <f t="shared" si="34"/>
        <v>0</v>
      </c>
      <c r="Y93" s="284">
        <f t="shared" si="24"/>
        <v>0</v>
      </c>
      <c r="Z93" s="180">
        <v>2547</v>
      </c>
      <c r="AB93" s="34"/>
      <c r="AC93" s="184"/>
      <c r="AD93" s="185"/>
      <c r="AE93" s="185"/>
      <c r="AF93" s="185"/>
      <c r="AG93" s="185"/>
      <c r="AH93" s="185"/>
      <c r="AI93" s="186"/>
    </row>
    <row r="94" spans="1:35" ht="18.75" x14ac:dyDescent="0.25">
      <c r="A94" s="25" t="str">
        <f t="shared" si="26"/>
        <v/>
      </c>
      <c r="B94" s="269">
        <f t="shared" si="17"/>
        <v>59</v>
      </c>
      <c r="C94" s="270">
        <f t="shared" si="18"/>
        <v>322</v>
      </c>
      <c r="D94" s="271">
        <f t="shared" si="27"/>
        <v>0</v>
      </c>
      <c r="E94" s="272">
        <f>IFERROR(IF(C93+D94&gt;=F94+((SUM($F$36:$F93)-ABS(SUM($E$36:$E93)))),-F94-((SUM($F$36:$F93)-ABS(SUM($E$36:$E93)))),-C93-D94),0)</f>
        <v>-2225</v>
      </c>
      <c r="F94" s="273">
        <v>2225</v>
      </c>
      <c r="G94" s="273">
        <f>Produtos!E60</f>
        <v>2225</v>
      </c>
      <c r="H94" s="272">
        <f t="shared" si="25"/>
        <v>0</v>
      </c>
      <c r="I94" s="274">
        <f t="shared" si="19"/>
        <v>12.839443853160157</v>
      </c>
      <c r="J94" s="275">
        <f t="shared" si="20"/>
        <v>4134.3009207175701</v>
      </c>
      <c r="K94" s="274">
        <f t="shared" si="21"/>
        <v>0</v>
      </c>
      <c r="L94" s="274">
        <f t="shared" si="28"/>
        <v>0</v>
      </c>
      <c r="M94" s="274">
        <f t="shared" si="29"/>
        <v>0</v>
      </c>
      <c r="N94" s="274">
        <f t="shared" si="30"/>
        <v>27812.5</v>
      </c>
      <c r="O94" s="276">
        <f t="shared" si="22"/>
        <v>190225</v>
      </c>
      <c r="P94" s="277">
        <v>0</v>
      </c>
      <c r="Q94" s="271">
        <f t="shared" si="31"/>
        <v>0</v>
      </c>
      <c r="R94" s="278">
        <f t="shared" si="13"/>
        <v>0</v>
      </c>
      <c r="S94" s="279">
        <f t="shared" si="32"/>
        <v>0</v>
      </c>
      <c r="T94" s="275">
        <f t="shared" si="14"/>
        <v>0</v>
      </c>
      <c r="U94" s="280">
        <v>0</v>
      </c>
      <c r="V94" s="281">
        <f t="shared" si="33"/>
        <v>0</v>
      </c>
      <c r="W94" s="282">
        <f t="shared" si="23"/>
        <v>0</v>
      </c>
      <c r="X94" s="279">
        <f t="shared" si="34"/>
        <v>0</v>
      </c>
      <c r="Y94" s="284">
        <f t="shared" si="24"/>
        <v>0</v>
      </c>
      <c r="Z94" s="180">
        <v>322</v>
      </c>
      <c r="AB94" s="34"/>
      <c r="AC94" s="184"/>
      <c r="AD94" s="185"/>
      <c r="AE94" s="185"/>
      <c r="AF94" s="185"/>
      <c r="AG94" s="185"/>
      <c r="AH94" s="185"/>
      <c r="AI94" s="186"/>
    </row>
    <row r="95" spans="1:35" ht="19.5" thickBot="1" x14ac:dyDescent="0.3">
      <c r="A95" s="25" t="str">
        <f t="shared" si="26"/>
        <v/>
      </c>
      <c r="B95" s="285">
        <f t="shared" si="17"/>
        <v>60</v>
      </c>
      <c r="C95" s="286">
        <f t="shared" si="18"/>
        <v>69</v>
      </c>
      <c r="D95" s="287">
        <f t="shared" si="27"/>
        <v>0</v>
      </c>
      <c r="E95" s="288">
        <f>IFERROR(IF(C94+D95&gt;=F95+((SUM($F$36:$F94)-ABS(SUM($E$36:$E94)))),-F95-((SUM($F$36:$F94)-ABS(SUM($E$36:$E94)))),-C94-D95),0)</f>
        <v>-253</v>
      </c>
      <c r="F95" s="289">
        <v>253</v>
      </c>
      <c r="G95" s="289">
        <f>Produtos!E61</f>
        <v>253</v>
      </c>
      <c r="H95" s="288">
        <f t="shared" si="25"/>
        <v>0</v>
      </c>
      <c r="I95" s="290">
        <f t="shared" si="19"/>
        <v>12.839443853160157</v>
      </c>
      <c r="J95" s="291">
        <f t="shared" si="20"/>
        <v>885.9216258680508</v>
      </c>
      <c r="K95" s="292">
        <f t="shared" si="21"/>
        <v>0</v>
      </c>
      <c r="L95" s="290">
        <f t="shared" si="28"/>
        <v>0</v>
      </c>
      <c r="M95" s="290">
        <f t="shared" si="29"/>
        <v>0</v>
      </c>
      <c r="N95" s="290">
        <f t="shared" si="30"/>
        <v>3162.5</v>
      </c>
      <c r="O95" s="293">
        <f t="shared" si="22"/>
        <v>193387.5</v>
      </c>
      <c r="P95" s="294">
        <v>0</v>
      </c>
      <c r="Q95" s="287">
        <f t="shared" si="31"/>
        <v>0</v>
      </c>
      <c r="R95" s="295">
        <f t="shared" si="13"/>
        <v>0</v>
      </c>
      <c r="S95" s="296">
        <f t="shared" si="32"/>
        <v>0</v>
      </c>
      <c r="T95" s="291">
        <f t="shared" si="14"/>
        <v>0</v>
      </c>
      <c r="U95" s="297">
        <v>0</v>
      </c>
      <c r="V95" s="298">
        <f t="shared" si="33"/>
        <v>0</v>
      </c>
      <c r="W95" s="299">
        <f t="shared" si="23"/>
        <v>0</v>
      </c>
      <c r="X95" s="296">
        <f t="shared" si="34"/>
        <v>0</v>
      </c>
      <c r="Y95" s="300">
        <f t="shared" si="24"/>
        <v>0</v>
      </c>
      <c r="Z95" s="180">
        <v>69</v>
      </c>
      <c r="AB95" s="34"/>
      <c r="AC95" s="187"/>
      <c r="AD95" s="188"/>
      <c r="AE95" s="188"/>
      <c r="AF95" s="188"/>
      <c r="AG95" s="188"/>
      <c r="AH95" s="188"/>
      <c r="AI95" s="189"/>
    </row>
    <row r="96" spans="1:35" s="15" customFormat="1" x14ac:dyDescent="0.25">
      <c r="A96" s="25"/>
      <c r="B96" s="9"/>
      <c r="C96" s="14"/>
      <c r="D96" s="14"/>
      <c r="E96" s="14"/>
      <c r="F96" s="14"/>
      <c r="G96" s="14"/>
      <c r="H96" s="14"/>
      <c r="I96" s="14"/>
      <c r="J96" s="17"/>
      <c r="K96" s="17"/>
      <c r="O96" s="36"/>
      <c r="P96" s="9">
        <v>0</v>
      </c>
      <c r="Q96" s="9"/>
      <c r="S96" s="9"/>
      <c r="U96" s="9">
        <v>0</v>
      </c>
      <c r="AB96" s="37"/>
    </row>
    <row r="97" spans="1:21" s="15" customFormat="1" hidden="1" x14ac:dyDescent="0.25">
      <c r="A97" s="25"/>
      <c r="B97" s="9"/>
      <c r="C97" s="14"/>
      <c r="D97" s="14"/>
      <c r="E97" s="14"/>
      <c r="F97" s="14"/>
      <c r="G97" s="14"/>
      <c r="H97" s="14"/>
      <c r="I97" s="14"/>
      <c r="J97" s="17"/>
      <c r="K97" s="17"/>
      <c r="O97" s="36"/>
      <c r="P97" s="9">
        <v>0</v>
      </c>
      <c r="Q97" s="9"/>
      <c r="R97" s="9"/>
      <c r="S97" s="9"/>
      <c r="U97" s="9">
        <v>0</v>
      </c>
    </row>
    <row r="98" spans="1:21" s="15" customFormat="1" hidden="1" x14ac:dyDescent="0.25">
      <c r="A98" s="25"/>
      <c r="B98" s="9"/>
      <c r="C98" s="14"/>
      <c r="D98" s="14"/>
      <c r="E98" s="5"/>
      <c r="F98" s="5"/>
      <c r="G98" s="26"/>
      <c r="H98" s="14"/>
      <c r="I98" s="14"/>
      <c r="J98" s="17"/>
      <c r="K98" s="17"/>
      <c r="O98" s="36"/>
      <c r="P98" s="9">
        <v>0</v>
      </c>
      <c r="Q98" s="9"/>
      <c r="R98" s="9"/>
      <c r="S98" s="9"/>
      <c r="U98" s="9">
        <v>0</v>
      </c>
    </row>
    <row r="99" spans="1:21" s="15" customFormat="1" hidden="1" x14ac:dyDescent="0.25">
      <c r="A99" s="25"/>
      <c r="B99" s="9"/>
      <c r="C99" s="14"/>
      <c r="D99" s="14"/>
      <c r="E99" s="5"/>
      <c r="F99" s="5"/>
      <c r="G99" s="26"/>
      <c r="H99" s="14"/>
      <c r="I99" s="14"/>
      <c r="J99" s="17"/>
      <c r="K99" s="17"/>
      <c r="O99" s="36"/>
      <c r="P99" s="9">
        <v>0</v>
      </c>
      <c r="Q99" s="9"/>
      <c r="R99" s="9"/>
      <c r="S99" s="9"/>
      <c r="U99" s="9">
        <v>0</v>
      </c>
    </row>
    <row r="100" spans="1:21" s="15" customFormat="1" hidden="1" x14ac:dyDescent="0.25">
      <c r="A100" s="25"/>
      <c r="B100" s="9"/>
      <c r="C100" s="14"/>
      <c r="D100" s="14"/>
      <c r="E100" s="5"/>
      <c r="F100" s="5"/>
      <c r="G100" s="26"/>
      <c r="H100" s="14"/>
      <c r="I100" s="14"/>
      <c r="J100" s="17"/>
      <c r="K100" s="17"/>
      <c r="O100" s="27"/>
      <c r="P100" s="9">
        <v>0</v>
      </c>
      <c r="Q100" s="9"/>
      <c r="R100" s="9"/>
      <c r="S100" s="9"/>
      <c r="U100" s="9">
        <v>0</v>
      </c>
    </row>
    <row r="101" spans="1:21" s="15" customFormat="1" hidden="1" x14ac:dyDescent="0.25">
      <c r="A101" s="25"/>
      <c r="B101" s="9"/>
      <c r="C101" s="14"/>
      <c r="D101" s="14"/>
      <c r="E101" s="5"/>
      <c r="F101" s="5"/>
      <c r="G101" s="26"/>
      <c r="H101" s="14"/>
      <c r="I101" s="14"/>
      <c r="J101" s="17"/>
      <c r="K101" s="17"/>
      <c r="P101" s="9">
        <v>0</v>
      </c>
      <c r="Q101" s="9"/>
      <c r="R101" s="9"/>
      <c r="S101" s="9"/>
      <c r="U101" s="9">
        <v>0</v>
      </c>
    </row>
    <row r="102" spans="1:21" s="15" customFormat="1" hidden="1" x14ac:dyDescent="0.25">
      <c r="A102" s="25"/>
      <c r="B102" s="9"/>
      <c r="C102" s="14"/>
      <c r="D102" s="14"/>
      <c r="E102" s="5"/>
      <c r="F102" s="5"/>
      <c r="G102" s="26"/>
      <c r="H102" s="14"/>
      <c r="I102" s="14" t="s">
        <v>67</v>
      </c>
      <c r="J102" s="17"/>
      <c r="K102" s="17"/>
      <c r="P102" s="9"/>
      <c r="Q102" s="9"/>
      <c r="R102" s="9"/>
      <c r="S102" s="9"/>
      <c r="U102" s="9"/>
    </row>
    <row r="103" spans="1:21" hidden="1" x14ac:dyDescent="0.25">
      <c r="A103" s="25"/>
      <c r="G103" s="26"/>
    </row>
    <row r="104" spans="1:21" hidden="1" x14ac:dyDescent="0.25">
      <c r="A104" s="25"/>
      <c r="G104" s="26"/>
    </row>
    <row r="105" spans="1:21" hidden="1" x14ac:dyDescent="0.25">
      <c r="A105" s="25"/>
      <c r="G105" s="26"/>
    </row>
    <row r="106" spans="1:21" hidden="1" x14ac:dyDescent="0.25">
      <c r="A106" s="25"/>
      <c r="G106" s="26"/>
    </row>
    <row r="107" spans="1:21" hidden="1" x14ac:dyDescent="0.25">
      <c r="A107" s="25"/>
      <c r="G107" s="26"/>
    </row>
    <row r="108" spans="1:21" hidden="1" x14ac:dyDescent="0.25">
      <c r="G108" s="26"/>
    </row>
    <row r="109" spans="1:21" hidden="1" x14ac:dyDescent="0.25">
      <c r="G109" s="26"/>
    </row>
    <row r="110" spans="1:21" hidden="1" x14ac:dyDescent="0.25">
      <c r="G110" s="26"/>
    </row>
    <row r="111" spans="1:21" hidden="1" x14ac:dyDescent="0.25">
      <c r="G111" s="26"/>
    </row>
    <row r="112" spans="1:21" hidden="1" x14ac:dyDescent="0.25">
      <c r="G112" s="26"/>
    </row>
    <row r="113" spans="7:7" hidden="1" x14ac:dyDescent="0.25">
      <c r="G113" s="26"/>
    </row>
    <row r="114" spans="7:7" hidden="1" x14ac:dyDescent="0.25">
      <c r="G114" s="26"/>
    </row>
    <row r="115" spans="7:7" hidden="1" x14ac:dyDescent="0.25">
      <c r="G115" s="26"/>
    </row>
    <row r="116" spans="7:7" hidden="1" x14ac:dyDescent="0.25">
      <c r="G116" s="26"/>
    </row>
  </sheetData>
  <sheetProtection algorithmName="SHA-512" hashValue="WnRfMYIw6JfdBGyBY4oZ/SFwGJfDaD3PUswJc4Yc/sI3zEWV1TP45ZI+fnV3LL4nsz+gJH885QdNnm5T5ClnHQ==" saltValue="jbLRWpFipleLodVY1mWYZw==" spinCount="100000" sheet="1" insertColumns="0" insertRows="0" sort="0" pivotTables="0"/>
  <mergeCells count="10">
    <mergeCell ref="B34:B35"/>
    <mergeCell ref="B26:C26"/>
    <mergeCell ref="P34:T34"/>
    <mergeCell ref="U34:Y34"/>
    <mergeCell ref="C34:J34"/>
    <mergeCell ref="H30:J30"/>
    <mergeCell ref="K34:O34"/>
    <mergeCell ref="I32:J32"/>
    <mergeCell ref="H31:J31"/>
    <mergeCell ref="K30:O32"/>
  </mergeCells>
  <phoneticPr fontId="10" type="noConversion"/>
  <conditionalFormatting sqref="H36:H95 B37:J95 N37:O95 P36:R95 K36:M95 S37:Y95">
    <cfRule type="expression" dxfId="37" priority="51">
      <formula>$A36=$B36</formula>
    </cfRule>
  </conditionalFormatting>
  <conditionalFormatting sqref="B36:J36 N36:O36 S36:Y36">
    <cfRule type="expression" dxfId="36" priority="46">
      <formula>$A$36=$B$36</formula>
    </cfRule>
  </conditionalFormatting>
  <conditionalFormatting sqref="U37:U95">
    <cfRule type="expression" dxfId="35" priority="45">
      <formula>$A37=$B37</formula>
    </cfRule>
  </conditionalFormatting>
  <conditionalFormatting sqref="U36">
    <cfRule type="expression" dxfId="34" priority="44">
      <formula>$A$36=$B$36</formula>
    </cfRule>
  </conditionalFormatting>
  <conditionalFormatting sqref="D21">
    <cfRule type="expression" dxfId="33" priority="52">
      <formula>$A22=$B21</formula>
    </cfRule>
  </conditionalFormatting>
  <conditionalFormatting sqref="C50">
    <cfRule type="expression" dxfId="32" priority="37">
      <formula>$C$50:$C$54="#N/D"</formula>
    </cfRule>
  </conditionalFormatting>
  <conditionalFormatting sqref="C36:C95">
    <cfRule type="containsErrors" dxfId="31" priority="36">
      <formula>ISERROR(C36)</formula>
    </cfRule>
  </conditionalFormatting>
  <conditionalFormatting sqref="AA68 AA73">
    <cfRule type="expression" dxfId="30" priority="27">
      <formula>$A69=$B69</formula>
    </cfRule>
  </conditionalFormatting>
  <conditionalFormatting sqref="AA78">
    <cfRule type="expression" dxfId="29" priority="20">
      <formula>$A79=$B79</formula>
    </cfRule>
  </conditionalFormatting>
  <conditionalFormatting sqref="AA89">
    <cfRule type="expression" dxfId="28" priority="15">
      <formula>$A90=$B90</formula>
    </cfRule>
  </conditionalFormatting>
  <conditionalFormatting sqref="AA90">
    <cfRule type="expression" dxfId="27" priority="14">
      <formula>$A91=$B91</formula>
    </cfRule>
  </conditionalFormatting>
  <conditionalFormatting sqref="AB90">
    <cfRule type="expression" dxfId="26" priority="3">
      <formula>$A91=$B91</formula>
    </cfRule>
  </conditionalFormatting>
  <conditionalFormatting sqref="AB89">
    <cfRule type="expression" dxfId="25" priority="2">
      <formula>$A90=$B90</formula>
    </cfRule>
  </conditionalFormatting>
  <conditionalFormatting sqref="AB91">
    <cfRule type="expression" dxfId="24" priority="1">
      <formula>$A92=$B92</formula>
    </cfRule>
  </conditionalFormatting>
  <pageMargins left="0.75000000000000011" right="0.75000000000000011" top="1" bottom="1" header="0.5" footer="0.5"/>
  <pageSetup paperSize="9" scale="37" orientation="portrait" horizontalDpi="4294967292" verticalDpi="4294967292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ADD193B-073B-40AB-9182-A6256CB8928D}">
          <x14:formula1>
            <xm:f>'Apoio Graf'!$B$118:$B$129</xm:f>
          </x14:formula1>
          <xm:sqref>AH12:AI12 AD12:AE12</xm:sqref>
        </x14:dataValidation>
        <x14:dataValidation type="list" allowBlank="1" showInputMessage="1" showErrorMessage="1" xr:uid="{26E18F2C-FE2A-4C1A-BAED-149D784C6F48}">
          <x14:formula1>
            <xm:f>'Apoio Graf'!$E$135:$E$138</xm:f>
          </x14:formula1>
          <xm:sqref>AI19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39997558519241921"/>
  </sheetPr>
  <dimension ref="B3:BK207"/>
  <sheetViews>
    <sheetView showGridLines="0" zoomScale="70" zoomScaleNormal="70" workbookViewId="0"/>
  </sheetViews>
  <sheetFormatPr defaultRowHeight="15" x14ac:dyDescent="0.25"/>
  <cols>
    <col min="1" max="1" width="4.875" style="84" customWidth="1"/>
    <col min="2" max="2" width="14.5" style="84" bestFit="1" customWidth="1"/>
    <col min="3" max="3" width="17.125" style="84" bestFit="1" customWidth="1"/>
    <col min="4" max="4" width="9.625" style="84" bestFit="1" customWidth="1"/>
    <col min="5" max="5" width="7.375" style="84" customWidth="1"/>
    <col min="6" max="16" width="9" style="84"/>
    <col min="17" max="17" width="10.875" style="84" customWidth="1"/>
    <col min="18" max="16384" width="9" style="84"/>
  </cols>
  <sheetData>
    <row r="3" spans="2:17" x14ac:dyDescent="0.25">
      <c r="B3" s="338" t="s">
        <v>91</v>
      </c>
      <c r="C3" s="339"/>
      <c r="D3" s="340"/>
      <c r="E3" s="88" t="s">
        <v>92</v>
      </c>
    </row>
    <row r="4" spans="2:17" x14ac:dyDescent="0.25">
      <c r="B4" s="338" t="s">
        <v>93</v>
      </c>
      <c r="C4" s="339"/>
      <c r="D4" s="340"/>
      <c r="E4" s="88">
        <v>10</v>
      </c>
    </row>
    <row r="5" spans="2:17" x14ac:dyDescent="0.25">
      <c r="B5" s="338" t="s">
        <v>94</v>
      </c>
      <c r="C5" s="339"/>
      <c r="D5" s="340"/>
      <c r="E5" s="88">
        <v>10</v>
      </c>
    </row>
    <row r="6" spans="2:17" x14ac:dyDescent="0.25">
      <c r="B6" s="338" t="s">
        <v>94</v>
      </c>
      <c r="C6" s="339"/>
      <c r="D6" s="340"/>
      <c r="E6" s="88">
        <v>10</v>
      </c>
    </row>
    <row r="7" spans="2:17" x14ac:dyDescent="0.25">
      <c r="B7" s="341" t="s">
        <v>95</v>
      </c>
      <c r="C7" s="342"/>
      <c r="D7" s="343"/>
      <c r="E7" s="88">
        <v>0</v>
      </c>
    </row>
    <row r="8" spans="2:17" x14ac:dyDescent="0.25">
      <c r="B8" s="341" t="s">
        <v>96</v>
      </c>
      <c r="C8" s="342"/>
      <c r="D8" s="343"/>
      <c r="E8" s="88">
        <v>1</v>
      </c>
    </row>
    <row r="9" spans="2:17" x14ac:dyDescent="0.25">
      <c r="B9" s="344" t="s">
        <v>100</v>
      </c>
      <c r="C9" s="345"/>
      <c r="D9" s="346"/>
      <c r="E9" s="89">
        <f>'Apoio Graf'!$C$29</f>
        <v>1</v>
      </c>
    </row>
    <row r="10" spans="2:17" x14ac:dyDescent="0.25">
      <c r="B10" s="336" t="s">
        <v>97</v>
      </c>
      <c r="C10" s="90" t="s">
        <v>98</v>
      </c>
      <c r="D10" s="90">
        <v>0</v>
      </c>
      <c r="E10" s="91">
        <v>0</v>
      </c>
    </row>
    <row r="11" spans="2:17" x14ac:dyDescent="0.25">
      <c r="B11" s="336"/>
      <c r="C11" s="92">
        <f>E9/E8*PI()</f>
        <v>3.1415926535897931</v>
      </c>
      <c r="D11" s="92">
        <f>-COS(C11)</f>
        <v>1</v>
      </c>
      <c r="E11" s="93">
        <f>SIN(C11)</f>
        <v>1.22514845490862E-16</v>
      </c>
    </row>
    <row r="12" spans="2:17" x14ac:dyDescent="0.25">
      <c r="B12" s="337" t="s">
        <v>99</v>
      </c>
      <c r="C12" s="337"/>
      <c r="D12" s="337"/>
      <c r="E12" s="337"/>
    </row>
    <row r="13" spans="2:17" x14ac:dyDescent="0.25">
      <c r="B13" s="91">
        <v>0</v>
      </c>
      <c r="C13" s="94">
        <f>-COS(E13)</f>
        <v>-1</v>
      </c>
      <c r="D13" s="94">
        <f>SIN(E13)</f>
        <v>0</v>
      </c>
      <c r="E13" s="93">
        <f>B13/$E$8*PI()</f>
        <v>0</v>
      </c>
      <c r="Q13" s="116"/>
    </row>
    <row r="14" spans="2:17" x14ac:dyDescent="0.25">
      <c r="B14" s="91">
        <f>$E$8/10+B13</f>
        <v>0.1</v>
      </c>
      <c r="C14" s="94">
        <f t="shared" ref="C14:C23" si="0">-COS(E14)</f>
        <v>-0.95105651629515353</v>
      </c>
      <c r="D14" s="94">
        <f t="shared" ref="D14:D23" si="1">SIN(E14)</f>
        <v>0.3090169943749474</v>
      </c>
      <c r="E14" s="93">
        <f t="shared" ref="E14:E23" si="2">B14/$E$8*PI()</f>
        <v>0.31415926535897931</v>
      </c>
    </row>
    <row r="15" spans="2:17" x14ac:dyDescent="0.25">
      <c r="B15" s="91">
        <f t="shared" ref="B15:B23" si="3">$E$8/10+B14</f>
        <v>0.2</v>
      </c>
      <c r="C15" s="94">
        <f t="shared" si="0"/>
        <v>-0.80901699437494745</v>
      </c>
      <c r="D15" s="94">
        <f t="shared" si="1"/>
        <v>0.58778525229247314</v>
      </c>
      <c r="E15" s="93">
        <f t="shared" si="2"/>
        <v>0.62831853071795862</v>
      </c>
    </row>
    <row r="16" spans="2:17" x14ac:dyDescent="0.25">
      <c r="B16" s="91">
        <f t="shared" si="3"/>
        <v>0.30000000000000004</v>
      </c>
      <c r="C16" s="94">
        <f t="shared" si="0"/>
        <v>-0.58778525229247303</v>
      </c>
      <c r="D16" s="94">
        <f t="shared" si="1"/>
        <v>0.80901699437494745</v>
      </c>
      <c r="E16" s="93">
        <f t="shared" si="2"/>
        <v>0.94247779607693805</v>
      </c>
    </row>
    <row r="17" spans="2:8" x14ac:dyDescent="0.25">
      <c r="B17" s="91">
        <f t="shared" si="3"/>
        <v>0.4</v>
      </c>
      <c r="C17" s="94">
        <f t="shared" si="0"/>
        <v>-0.30901699437494745</v>
      </c>
      <c r="D17" s="94">
        <f t="shared" si="1"/>
        <v>0.95105651629515353</v>
      </c>
      <c r="E17" s="93">
        <f t="shared" si="2"/>
        <v>1.2566370614359172</v>
      </c>
    </row>
    <row r="18" spans="2:8" x14ac:dyDescent="0.25">
      <c r="B18" s="91">
        <f t="shared" si="3"/>
        <v>0.5</v>
      </c>
      <c r="C18" s="94">
        <f t="shared" si="0"/>
        <v>-6.1257422745431001E-17</v>
      </c>
      <c r="D18" s="94">
        <f t="shared" si="1"/>
        <v>1</v>
      </c>
      <c r="E18" s="93">
        <f t="shared" si="2"/>
        <v>1.5707963267948966</v>
      </c>
    </row>
    <row r="19" spans="2:8" x14ac:dyDescent="0.25">
      <c r="B19" s="91">
        <f t="shared" si="3"/>
        <v>0.6</v>
      </c>
      <c r="C19" s="94">
        <f t="shared" si="0"/>
        <v>0.30901699437494734</v>
      </c>
      <c r="D19" s="94">
        <f t="shared" si="1"/>
        <v>0.95105651629515364</v>
      </c>
      <c r="E19" s="93">
        <f t="shared" si="2"/>
        <v>1.8849555921538759</v>
      </c>
    </row>
    <row r="20" spans="2:8" x14ac:dyDescent="0.25">
      <c r="B20" s="91">
        <f t="shared" si="3"/>
        <v>0.7</v>
      </c>
      <c r="C20" s="94">
        <f t="shared" si="0"/>
        <v>0.58778525229247303</v>
      </c>
      <c r="D20" s="94">
        <f t="shared" si="1"/>
        <v>0.80901699437494745</v>
      </c>
      <c r="E20" s="93">
        <f t="shared" si="2"/>
        <v>2.1991148575128552</v>
      </c>
    </row>
    <row r="21" spans="2:8" x14ac:dyDescent="0.25">
      <c r="B21" s="91">
        <f t="shared" si="3"/>
        <v>0.79999999999999993</v>
      </c>
      <c r="C21" s="94">
        <f t="shared" si="0"/>
        <v>0.80901699437494734</v>
      </c>
      <c r="D21" s="94">
        <f t="shared" si="1"/>
        <v>0.58778525229247325</v>
      </c>
      <c r="E21" s="93">
        <f t="shared" si="2"/>
        <v>2.5132741228718345</v>
      </c>
    </row>
    <row r="22" spans="2:8" x14ac:dyDescent="0.25">
      <c r="B22" s="91">
        <f t="shared" si="3"/>
        <v>0.89999999999999991</v>
      </c>
      <c r="C22" s="94">
        <f t="shared" si="0"/>
        <v>0.95105651629515342</v>
      </c>
      <c r="D22" s="94">
        <f t="shared" si="1"/>
        <v>0.30901699437494795</v>
      </c>
      <c r="E22" s="93">
        <f t="shared" si="2"/>
        <v>2.8274333882308134</v>
      </c>
    </row>
    <row r="23" spans="2:8" x14ac:dyDescent="0.25">
      <c r="B23" s="91">
        <f t="shared" si="3"/>
        <v>0.99999999999999989</v>
      </c>
      <c r="C23" s="94">
        <f t="shared" si="0"/>
        <v>1</v>
      </c>
      <c r="D23" s="94">
        <f t="shared" si="1"/>
        <v>5.6660405534092462E-16</v>
      </c>
      <c r="E23" s="93">
        <f t="shared" si="2"/>
        <v>3.1415926535897927</v>
      </c>
    </row>
    <row r="26" spans="2:8" ht="15.75" x14ac:dyDescent="0.25">
      <c r="B26" s="133" t="s">
        <v>135</v>
      </c>
      <c r="C26" s="134"/>
      <c r="D26" s="134"/>
    </row>
    <row r="27" spans="2:8" ht="33" customHeight="1" x14ac:dyDescent="0.25">
      <c r="B27" s="85" t="s">
        <v>103</v>
      </c>
      <c r="C27" s="120">
        <f>IFERROR(IF(Planejamento!D21/Planejamento!D19&lt;0,Planejamento!D21/Planejamento!D19,Planejamento!D21/(SUM(Planejamento!D36:D95)*Planejamento!D16-Planejamento!D19)),0)</f>
        <v>0.99555984555984556</v>
      </c>
      <c r="D27" s="120"/>
    </row>
    <row r="28" spans="2:8" ht="33" customHeight="1" x14ac:dyDescent="0.25">
      <c r="B28" s="86" t="s">
        <v>101</v>
      </c>
      <c r="C28" s="120">
        <f>Planejamento!D26</f>
        <v>0</v>
      </c>
      <c r="D28" s="120"/>
      <c r="H28" s="121"/>
    </row>
    <row r="29" spans="2:8" ht="33" customHeight="1" x14ac:dyDescent="0.25">
      <c r="B29" s="87" t="s">
        <v>102</v>
      </c>
      <c r="C29" s="120">
        <f>IFERROR(Planejamento!D24/Planejamento!D23,0)</f>
        <v>1</v>
      </c>
      <c r="D29" s="120"/>
      <c r="H29" s="121"/>
    </row>
    <row r="30" spans="2:8" ht="33" customHeight="1" x14ac:dyDescent="0.25">
      <c r="B30" s="86" t="s">
        <v>61</v>
      </c>
      <c r="C30" s="119">
        <f>(AVERAGE(C27,C29)-C28)*10</f>
        <v>9.9777992277992276</v>
      </c>
      <c r="D30" s="119"/>
    </row>
    <row r="32" spans="2:8" ht="15.75" x14ac:dyDescent="0.25">
      <c r="B32" s="132" t="s">
        <v>134</v>
      </c>
      <c r="C32" s="131"/>
      <c r="D32" s="131"/>
    </row>
    <row r="33" spans="2:4" x14ac:dyDescent="0.25">
      <c r="B33" s="128" t="s">
        <v>0</v>
      </c>
      <c r="C33" s="129" t="str">
        <f>Planejamento!O35</f>
        <v>Saldo Financeiro</v>
      </c>
      <c r="D33" s="129" t="s">
        <v>104</v>
      </c>
    </row>
    <row r="34" spans="2:4" x14ac:dyDescent="0.25">
      <c r="B34" s="128">
        <f>Planejamento!B36</f>
        <v>1</v>
      </c>
      <c r="C34" s="130">
        <f>Planejamento!O36</f>
        <v>0</v>
      </c>
      <c r="D34" s="130">
        <f>IF(C34&lt;0,NA(),C34)</f>
        <v>0</v>
      </c>
    </row>
    <row r="35" spans="2:4" x14ac:dyDescent="0.25">
      <c r="B35" s="128">
        <f>Planejamento!B37</f>
        <v>2</v>
      </c>
      <c r="C35" s="130">
        <f>Planejamento!O37</f>
        <v>0</v>
      </c>
      <c r="D35" s="130">
        <f t="shared" ref="D35:D93" si="4">IF(C35&lt;0,NA(),C35)</f>
        <v>0</v>
      </c>
    </row>
    <row r="36" spans="2:4" x14ac:dyDescent="0.25">
      <c r="B36" s="128">
        <f>Planejamento!B38</f>
        <v>3</v>
      </c>
      <c r="C36" s="130">
        <f>Planejamento!O38</f>
        <v>0</v>
      </c>
      <c r="D36" s="130">
        <f t="shared" si="4"/>
        <v>0</v>
      </c>
    </row>
    <row r="37" spans="2:4" x14ac:dyDescent="0.25">
      <c r="B37" s="128">
        <f>Planejamento!B39</f>
        <v>4</v>
      </c>
      <c r="C37" s="130">
        <f>Planejamento!O39</f>
        <v>0</v>
      </c>
      <c r="D37" s="130">
        <f t="shared" si="4"/>
        <v>0</v>
      </c>
    </row>
    <row r="38" spans="2:4" x14ac:dyDescent="0.25">
      <c r="B38" s="128">
        <f>Planejamento!B40</f>
        <v>5</v>
      </c>
      <c r="C38" s="130">
        <f>Planejamento!O40</f>
        <v>0</v>
      </c>
      <c r="D38" s="130">
        <f t="shared" si="4"/>
        <v>0</v>
      </c>
    </row>
    <row r="39" spans="2:4" x14ac:dyDescent="0.25">
      <c r="B39" s="128">
        <f>Planejamento!B41</f>
        <v>6</v>
      </c>
      <c r="C39" s="130">
        <f>Planejamento!O41</f>
        <v>0</v>
      </c>
      <c r="D39" s="130">
        <f t="shared" si="4"/>
        <v>0</v>
      </c>
    </row>
    <row r="40" spans="2:4" x14ac:dyDescent="0.25">
      <c r="B40" s="128">
        <f>Planejamento!B42</f>
        <v>7</v>
      </c>
      <c r="C40" s="130">
        <f>Planejamento!O42</f>
        <v>-57337.5</v>
      </c>
      <c r="D40" s="130" t="e">
        <f t="shared" si="4"/>
        <v>#N/A</v>
      </c>
    </row>
    <row r="41" spans="2:4" x14ac:dyDescent="0.25">
      <c r="B41" s="128">
        <f>Planejamento!B43</f>
        <v>8</v>
      </c>
      <c r="C41" s="130">
        <f>Planejamento!O43</f>
        <v>-31862.5</v>
      </c>
      <c r="D41" s="130" t="e">
        <f t="shared" si="4"/>
        <v>#N/A</v>
      </c>
    </row>
    <row r="42" spans="2:4" x14ac:dyDescent="0.25">
      <c r="B42" s="128">
        <f>Planejamento!B44</f>
        <v>9</v>
      </c>
      <c r="C42" s="130">
        <f>Planejamento!O44</f>
        <v>-25762.5</v>
      </c>
      <c r="D42" s="130" t="e">
        <f t="shared" si="4"/>
        <v>#N/A</v>
      </c>
    </row>
    <row r="43" spans="2:4" x14ac:dyDescent="0.25">
      <c r="B43" s="128">
        <f>Planejamento!B45</f>
        <v>10</v>
      </c>
      <c r="C43" s="130">
        <f>Planejamento!O45</f>
        <v>-18612.5</v>
      </c>
      <c r="D43" s="130" t="e">
        <f t="shared" si="4"/>
        <v>#N/A</v>
      </c>
    </row>
    <row r="44" spans="2:4" x14ac:dyDescent="0.25">
      <c r="B44" s="128">
        <f>Planejamento!B46</f>
        <v>11</v>
      </c>
      <c r="C44" s="130">
        <f>Planejamento!O46</f>
        <v>-12512.5</v>
      </c>
      <c r="D44" s="130" t="e">
        <f t="shared" si="4"/>
        <v>#N/A</v>
      </c>
    </row>
    <row r="45" spans="2:4" x14ac:dyDescent="0.25">
      <c r="B45" s="128">
        <f>Planejamento!B47</f>
        <v>12</v>
      </c>
      <c r="C45" s="130">
        <f>Planejamento!O47</f>
        <v>-60200</v>
      </c>
      <c r="D45" s="130" t="e">
        <f t="shared" si="4"/>
        <v>#N/A</v>
      </c>
    </row>
    <row r="46" spans="2:4" x14ac:dyDescent="0.25">
      <c r="B46" s="128">
        <f>Planejamento!B48</f>
        <v>13</v>
      </c>
      <c r="C46" s="130">
        <f>Planejamento!O48</f>
        <v>-54650</v>
      </c>
      <c r="D46" s="130" t="e">
        <f t="shared" si="4"/>
        <v>#N/A</v>
      </c>
    </row>
    <row r="47" spans="2:4" x14ac:dyDescent="0.25">
      <c r="B47" s="128">
        <f>Planejamento!B49</f>
        <v>14</v>
      </c>
      <c r="C47" s="130">
        <f>Planejamento!O49</f>
        <v>-22187.5</v>
      </c>
      <c r="D47" s="130" t="e">
        <f t="shared" si="4"/>
        <v>#N/A</v>
      </c>
    </row>
    <row r="48" spans="2:4" x14ac:dyDescent="0.25">
      <c r="B48" s="128">
        <f>Planejamento!B50</f>
        <v>15</v>
      </c>
      <c r="C48" s="130">
        <f>Planejamento!O50</f>
        <v>-11087.5</v>
      </c>
      <c r="D48" s="130" t="e">
        <f t="shared" si="4"/>
        <v>#N/A</v>
      </c>
    </row>
    <row r="49" spans="2:4" x14ac:dyDescent="0.25">
      <c r="B49" s="128">
        <f>Planejamento!B51</f>
        <v>16</v>
      </c>
      <c r="C49" s="130">
        <f>Planejamento!O51</f>
        <v>7087.5</v>
      </c>
      <c r="D49" s="130">
        <f t="shared" si="4"/>
        <v>7087.5</v>
      </c>
    </row>
    <row r="50" spans="2:4" x14ac:dyDescent="0.25">
      <c r="B50" s="128">
        <f>Planejamento!B52</f>
        <v>17</v>
      </c>
      <c r="C50" s="130">
        <f>Planejamento!O52</f>
        <v>-13162.5</v>
      </c>
      <c r="D50" s="130" t="e">
        <f t="shared" si="4"/>
        <v>#N/A</v>
      </c>
    </row>
    <row r="51" spans="2:4" x14ac:dyDescent="0.25">
      <c r="B51" s="128">
        <f>Planejamento!B53</f>
        <v>18</v>
      </c>
      <c r="C51" s="130">
        <f>Planejamento!O53</f>
        <v>-9562.5</v>
      </c>
      <c r="D51" s="130" t="e">
        <f t="shared" si="4"/>
        <v>#N/A</v>
      </c>
    </row>
    <row r="52" spans="2:4" x14ac:dyDescent="0.25">
      <c r="B52" s="128">
        <f>Planejamento!B54</f>
        <v>19</v>
      </c>
      <c r="C52" s="130">
        <f>Planejamento!O54</f>
        <v>-3612.5</v>
      </c>
      <c r="D52" s="130" t="e">
        <f t="shared" si="4"/>
        <v>#N/A</v>
      </c>
    </row>
    <row r="53" spans="2:4" x14ac:dyDescent="0.25">
      <c r="B53" s="128">
        <f>Planejamento!B55</f>
        <v>20</v>
      </c>
      <c r="C53" s="130">
        <f>Planejamento!O55</f>
        <v>5687.5</v>
      </c>
      <c r="D53" s="130">
        <f t="shared" si="4"/>
        <v>5687.5</v>
      </c>
    </row>
    <row r="54" spans="2:4" x14ac:dyDescent="0.25">
      <c r="B54" s="128">
        <f>Planejamento!B56</f>
        <v>21</v>
      </c>
      <c r="C54" s="130">
        <f>Planejamento!O56</f>
        <v>11637.5</v>
      </c>
      <c r="D54" s="130">
        <f t="shared" si="4"/>
        <v>11637.5</v>
      </c>
    </row>
    <row r="55" spans="2:4" x14ac:dyDescent="0.25">
      <c r="B55" s="128">
        <f>Planejamento!B57</f>
        <v>22</v>
      </c>
      <c r="C55" s="130">
        <f>Planejamento!O57</f>
        <v>-45687.5</v>
      </c>
      <c r="D55" s="130" t="e">
        <f t="shared" si="4"/>
        <v>#N/A</v>
      </c>
    </row>
    <row r="56" spans="2:4" x14ac:dyDescent="0.25">
      <c r="B56" s="128">
        <f>Planejamento!B58</f>
        <v>23</v>
      </c>
      <c r="C56" s="130">
        <f>Planejamento!O58</f>
        <v>-17887.5</v>
      </c>
      <c r="D56" s="130" t="e">
        <f t="shared" si="4"/>
        <v>#N/A</v>
      </c>
    </row>
    <row r="57" spans="2:4" x14ac:dyDescent="0.25">
      <c r="B57" s="128">
        <f>Planejamento!B59</f>
        <v>24</v>
      </c>
      <c r="C57" s="130">
        <f>Planejamento!O59</f>
        <v>-9487.5</v>
      </c>
      <c r="D57" s="130" t="e">
        <f t="shared" si="4"/>
        <v>#N/A</v>
      </c>
    </row>
    <row r="58" spans="2:4" x14ac:dyDescent="0.25">
      <c r="B58" s="128">
        <f>Planejamento!B60</f>
        <v>25</v>
      </c>
      <c r="C58" s="130">
        <f>Planejamento!O60</f>
        <v>27037.5</v>
      </c>
      <c r="D58" s="130">
        <f t="shared" si="4"/>
        <v>27037.5</v>
      </c>
    </row>
    <row r="59" spans="2:4" x14ac:dyDescent="0.25">
      <c r="B59" s="128">
        <f>Planejamento!B61</f>
        <v>26</v>
      </c>
      <c r="C59" s="130">
        <f>Planejamento!O61</f>
        <v>30200</v>
      </c>
      <c r="D59" s="130">
        <f t="shared" si="4"/>
        <v>30200</v>
      </c>
    </row>
    <row r="60" spans="2:4" x14ac:dyDescent="0.25">
      <c r="B60" s="128">
        <f>Planejamento!B62</f>
        <v>27</v>
      </c>
      <c r="C60" s="130">
        <f>Planejamento!O62</f>
        <v>-5762.5</v>
      </c>
      <c r="D60" s="130" t="e">
        <f t="shared" si="4"/>
        <v>#N/A</v>
      </c>
    </row>
    <row r="61" spans="2:4" x14ac:dyDescent="0.25">
      <c r="B61" s="128">
        <f>Planejamento!B63</f>
        <v>28</v>
      </c>
      <c r="C61" s="130">
        <f>Planejamento!O63</f>
        <v>-3637.5</v>
      </c>
      <c r="D61" s="130" t="e">
        <f t="shared" si="4"/>
        <v>#N/A</v>
      </c>
    </row>
    <row r="62" spans="2:4" x14ac:dyDescent="0.25">
      <c r="B62" s="128">
        <f>Planejamento!B64</f>
        <v>29</v>
      </c>
      <c r="C62" s="130">
        <f>Planejamento!O64</f>
        <v>-887.5</v>
      </c>
      <c r="D62" s="130" t="e">
        <f t="shared" si="4"/>
        <v>#N/A</v>
      </c>
    </row>
    <row r="63" spans="2:4" x14ac:dyDescent="0.25">
      <c r="B63" s="128">
        <f>Planejamento!B65</f>
        <v>30</v>
      </c>
      <c r="C63" s="130">
        <f>Planejamento!O65</f>
        <v>24587.5</v>
      </c>
      <c r="D63" s="130">
        <f t="shared" si="4"/>
        <v>24587.5</v>
      </c>
    </row>
    <row r="64" spans="2:4" x14ac:dyDescent="0.25">
      <c r="B64" s="128">
        <f>Planejamento!B66</f>
        <v>31</v>
      </c>
      <c r="C64" s="130">
        <f>Planejamento!O66</f>
        <v>45537.5</v>
      </c>
      <c r="D64" s="130">
        <f t="shared" si="4"/>
        <v>45537.5</v>
      </c>
    </row>
    <row r="65" spans="2:4" x14ac:dyDescent="0.25">
      <c r="B65" s="128">
        <f>Planejamento!B67</f>
        <v>32</v>
      </c>
      <c r="C65" s="130">
        <f>Planejamento!O67</f>
        <v>-23062.5</v>
      </c>
      <c r="D65" s="130" t="e">
        <f t="shared" si="4"/>
        <v>#N/A</v>
      </c>
    </row>
    <row r="66" spans="2:4" x14ac:dyDescent="0.25">
      <c r="B66" s="128">
        <f>Planejamento!B68</f>
        <v>33</v>
      </c>
      <c r="C66" s="130">
        <f>Planejamento!O68</f>
        <v>14412.5</v>
      </c>
      <c r="D66" s="130">
        <f t="shared" si="4"/>
        <v>14412.5</v>
      </c>
    </row>
    <row r="67" spans="2:4" x14ac:dyDescent="0.25">
      <c r="B67" s="128">
        <f>Planejamento!B69</f>
        <v>34</v>
      </c>
      <c r="C67" s="130">
        <f>Planejamento!O69</f>
        <v>31350</v>
      </c>
      <c r="D67" s="130">
        <f t="shared" si="4"/>
        <v>31350</v>
      </c>
    </row>
    <row r="68" spans="2:4" x14ac:dyDescent="0.25">
      <c r="B68" s="128">
        <f>Planejamento!B70</f>
        <v>35</v>
      </c>
      <c r="C68" s="130">
        <f>Planejamento!O70</f>
        <v>39750</v>
      </c>
      <c r="D68" s="130">
        <f t="shared" si="4"/>
        <v>39750</v>
      </c>
    </row>
    <row r="69" spans="2:4" x14ac:dyDescent="0.25">
      <c r="B69" s="128">
        <f>Planejamento!B71</f>
        <v>36</v>
      </c>
      <c r="C69" s="130">
        <f>Planejamento!O71</f>
        <v>64250</v>
      </c>
      <c r="D69" s="130">
        <f t="shared" si="4"/>
        <v>64250</v>
      </c>
    </row>
    <row r="70" spans="2:4" x14ac:dyDescent="0.25">
      <c r="B70" s="128">
        <f>Planejamento!B72</f>
        <v>37</v>
      </c>
      <c r="C70" s="130">
        <f>Planejamento!O72</f>
        <v>5000</v>
      </c>
      <c r="D70" s="130">
        <f t="shared" si="4"/>
        <v>5000</v>
      </c>
    </row>
    <row r="71" spans="2:4" x14ac:dyDescent="0.25">
      <c r="B71" s="128">
        <f>Planejamento!B73</f>
        <v>38</v>
      </c>
      <c r="C71" s="130">
        <f>Planejamento!O73</f>
        <v>32800</v>
      </c>
      <c r="D71" s="130">
        <f t="shared" si="4"/>
        <v>32800</v>
      </c>
    </row>
    <row r="72" spans="2:4" x14ac:dyDescent="0.25">
      <c r="B72" s="128">
        <f>Planejamento!B74</f>
        <v>39</v>
      </c>
      <c r="C72" s="130">
        <f>Planejamento!O74</f>
        <v>37687.5</v>
      </c>
      <c r="D72" s="130">
        <f t="shared" si="4"/>
        <v>37687.5</v>
      </c>
    </row>
    <row r="73" spans="2:4" x14ac:dyDescent="0.25">
      <c r="B73" s="128">
        <f>Planejamento!B75</f>
        <v>40</v>
      </c>
      <c r="C73" s="130">
        <f>Planejamento!O75</f>
        <v>64737.5</v>
      </c>
      <c r="D73" s="130">
        <f t="shared" si="4"/>
        <v>64737.5</v>
      </c>
    </row>
    <row r="74" spans="2:4" x14ac:dyDescent="0.25">
      <c r="B74" s="128">
        <f>Planejamento!B76</f>
        <v>41</v>
      </c>
      <c r="C74" s="130">
        <f>Planejamento!O76</f>
        <v>88487.5</v>
      </c>
      <c r="D74" s="130">
        <f t="shared" si="4"/>
        <v>88487.5</v>
      </c>
    </row>
    <row r="75" spans="2:4" x14ac:dyDescent="0.25">
      <c r="B75" s="128">
        <f>Planejamento!B77</f>
        <v>42</v>
      </c>
      <c r="C75" s="130">
        <f>Planejamento!O77</f>
        <v>29562.5</v>
      </c>
      <c r="D75" s="130">
        <f t="shared" si="4"/>
        <v>29562.5</v>
      </c>
    </row>
    <row r="76" spans="2:4" x14ac:dyDescent="0.25">
      <c r="B76" s="128">
        <f>Planejamento!B78</f>
        <v>43</v>
      </c>
      <c r="C76" s="130">
        <f>Planejamento!O78</f>
        <v>66087.5</v>
      </c>
      <c r="D76" s="130">
        <f t="shared" si="4"/>
        <v>66087.5</v>
      </c>
    </row>
    <row r="77" spans="2:4" x14ac:dyDescent="0.25">
      <c r="B77" s="128">
        <f>Planejamento!B79</f>
        <v>44</v>
      </c>
      <c r="C77" s="130">
        <f>Planejamento!O79</f>
        <v>88762.5</v>
      </c>
      <c r="D77" s="130">
        <f t="shared" si="4"/>
        <v>88762.5</v>
      </c>
    </row>
    <row r="78" spans="2:4" x14ac:dyDescent="0.25">
      <c r="B78" s="128">
        <f>Planejamento!B80</f>
        <v>45</v>
      </c>
      <c r="C78" s="130">
        <f>Planejamento!O80</f>
        <v>108675</v>
      </c>
      <c r="D78" s="130">
        <f t="shared" si="4"/>
        <v>108675</v>
      </c>
    </row>
    <row r="79" spans="2:4" x14ac:dyDescent="0.25">
      <c r="B79" s="128">
        <f>Planejamento!B81</f>
        <v>46</v>
      </c>
      <c r="C79" s="130">
        <f>Planejamento!O81</f>
        <v>112125</v>
      </c>
      <c r="D79" s="130">
        <f t="shared" si="4"/>
        <v>112125</v>
      </c>
    </row>
    <row r="80" spans="2:4" x14ac:dyDescent="0.25">
      <c r="B80" s="128">
        <f>Planejamento!B82</f>
        <v>47</v>
      </c>
      <c r="C80" s="130">
        <f>Planejamento!O82</f>
        <v>60875</v>
      </c>
      <c r="D80" s="130">
        <f t="shared" si="4"/>
        <v>60875</v>
      </c>
    </row>
    <row r="81" spans="2:4" x14ac:dyDescent="0.25">
      <c r="B81" s="128">
        <f>Planejamento!B83</f>
        <v>48</v>
      </c>
      <c r="C81" s="130">
        <f>Planejamento!O83</f>
        <v>90975</v>
      </c>
      <c r="D81" s="130">
        <f t="shared" si="4"/>
        <v>90975</v>
      </c>
    </row>
    <row r="82" spans="2:4" x14ac:dyDescent="0.25">
      <c r="B82" s="128">
        <f>Planejamento!B84</f>
        <v>49</v>
      </c>
      <c r="C82" s="130">
        <f>Planejamento!O84</f>
        <v>96925</v>
      </c>
      <c r="D82" s="130">
        <f t="shared" si="4"/>
        <v>96925</v>
      </c>
    </row>
    <row r="83" spans="2:4" x14ac:dyDescent="0.25">
      <c r="B83" s="128">
        <f>Planejamento!B85</f>
        <v>50</v>
      </c>
      <c r="C83" s="130">
        <f>Planejamento!O85</f>
        <v>120837.5</v>
      </c>
      <c r="D83" s="130">
        <f t="shared" si="4"/>
        <v>120837.5</v>
      </c>
    </row>
    <row r="84" spans="2:4" x14ac:dyDescent="0.25">
      <c r="B84" s="128">
        <f>Planejamento!B86</f>
        <v>51</v>
      </c>
      <c r="C84" s="130">
        <f>Planejamento!O86</f>
        <v>130137.5</v>
      </c>
      <c r="D84" s="130">
        <f t="shared" si="4"/>
        <v>130137.5</v>
      </c>
    </row>
    <row r="85" spans="2:4" x14ac:dyDescent="0.25">
      <c r="B85" s="128">
        <f>Planejamento!B87</f>
        <v>52</v>
      </c>
      <c r="C85" s="130">
        <f>Planejamento!O87</f>
        <v>92350</v>
      </c>
      <c r="D85" s="130">
        <f t="shared" si="4"/>
        <v>92350</v>
      </c>
    </row>
    <row r="86" spans="2:4" x14ac:dyDescent="0.25">
      <c r="B86" s="128">
        <f>Planejamento!B88</f>
        <v>53</v>
      </c>
      <c r="C86" s="130">
        <f>Planejamento!O88</f>
        <v>116850</v>
      </c>
      <c r="D86" s="130">
        <f t="shared" si="4"/>
        <v>116850</v>
      </c>
    </row>
    <row r="87" spans="2:4" x14ac:dyDescent="0.25">
      <c r="B87" s="128">
        <f>Planejamento!B89</f>
        <v>54</v>
      </c>
      <c r="C87" s="130">
        <f>Planejamento!O89</f>
        <v>122587.5</v>
      </c>
      <c r="D87" s="130">
        <f t="shared" si="4"/>
        <v>122587.5</v>
      </c>
    </row>
    <row r="88" spans="2:4" x14ac:dyDescent="0.25">
      <c r="B88" s="128">
        <f>Planejamento!B90</f>
        <v>55</v>
      </c>
      <c r="C88" s="130">
        <f>Planejamento!O90</f>
        <v>143537.5</v>
      </c>
      <c r="D88" s="130">
        <f t="shared" si="4"/>
        <v>143537.5</v>
      </c>
    </row>
    <row r="89" spans="2:4" x14ac:dyDescent="0.25">
      <c r="B89" s="128">
        <f>Planejamento!B91</f>
        <v>56</v>
      </c>
      <c r="C89" s="130">
        <f>Planejamento!O91</f>
        <v>115287.5</v>
      </c>
      <c r="D89" s="130">
        <f t="shared" si="4"/>
        <v>115287.5</v>
      </c>
    </row>
    <row r="90" spans="2:4" x14ac:dyDescent="0.25">
      <c r="B90" s="128">
        <f>Planejamento!B92</f>
        <v>57</v>
      </c>
      <c r="C90" s="130">
        <f>Planejamento!O92</f>
        <v>143950</v>
      </c>
      <c r="D90" s="130">
        <f t="shared" si="4"/>
        <v>143950</v>
      </c>
    </row>
    <row r="91" spans="2:4" x14ac:dyDescent="0.25">
      <c r="B91" s="128">
        <f>Planejamento!B93</f>
        <v>58</v>
      </c>
      <c r="C91" s="130">
        <f>Planejamento!O93</f>
        <v>162412.5</v>
      </c>
      <c r="D91" s="130">
        <f t="shared" si="4"/>
        <v>162412.5</v>
      </c>
    </row>
    <row r="92" spans="2:4" x14ac:dyDescent="0.25">
      <c r="B92" s="128">
        <f>Planejamento!B94</f>
        <v>59</v>
      </c>
      <c r="C92" s="130">
        <f>Planejamento!O94</f>
        <v>190225</v>
      </c>
      <c r="D92" s="130">
        <f t="shared" si="4"/>
        <v>190225</v>
      </c>
    </row>
    <row r="93" spans="2:4" x14ac:dyDescent="0.25">
      <c r="B93" s="128">
        <f>Planejamento!B95</f>
        <v>60</v>
      </c>
      <c r="C93" s="130">
        <f>Planejamento!O95</f>
        <v>193387.5</v>
      </c>
      <c r="D93" s="130">
        <f t="shared" si="4"/>
        <v>193387.5</v>
      </c>
    </row>
    <row r="96" spans="2:4" ht="15.75" x14ac:dyDescent="0.25">
      <c r="B96" s="133" t="s">
        <v>54</v>
      </c>
      <c r="C96" s="134"/>
    </row>
    <row r="97" spans="2:3" x14ac:dyDescent="0.25">
      <c r="B97" s="136" t="s">
        <v>115</v>
      </c>
      <c r="C97" s="141" t="s">
        <v>114</v>
      </c>
    </row>
    <row r="98" spans="2:3" x14ac:dyDescent="0.25">
      <c r="B98" s="136" t="s">
        <v>113</v>
      </c>
      <c r="C98" s="142">
        <v>0.63</v>
      </c>
    </row>
    <row r="99" spans="2:3" x14ac:dyDescent="0.25">
      <c r="B99" s="136" t="s">
        <v>112</v>
      </c>
      <c r="C99" s="142">
        <v>1</v>
      </c>
    </row>
    <row r="100" spans="2:3" x14ac:dyDescent="0.25">
      <c r="B100" s="136" t="s">
        <v>111</v>
      </c>
      <c r="C100" s="142">
        <v>1.1499999999999999</v>
      </c>
    </row>
    <row r="101" spans="2:3" x14ac:dyDescent="0.25">
      <c r="B101" s="136" t="s">
        <v>110</v>
      </c>
      <c r="C101" s="142">
        <f>SUM(C106:C109)</f>
        <v>1.25</v>
      </c>
    </row>
    <row r="102" spans="2:3" ht="33" x14ac:dyDescent="0.25">
      <c r="B102" s="136" t="s">
        <v>116</v>
      </c>
      <c r="C102" s="137">
        <f>Planejamento!D22</f>
        <v>1.2488899613899613</v>
      </c>
    </row>
    <row r="103" spans="2:3" x14ac:dyDescent="0.25">
      <c r="B103" s="123"/>
      <c r="C103" s="123"/>
    </row>
    <row r="104" spans="2:3" x14ac:dyDescent="0.25">
      <c r="B104" s="138" t="s">
        <v>109</v>
      </c>
      <c r="C104" s="139" t="s">
        <v>108</v>
      </c>
    </row>
    <row r="105" spans="2:3" x14ac:dyDescent="0.25">
      <c r="B105" s="138" t="s">
        <v>137</v>
      </c>
      <c r="C105" s="140">
        <f xml:space="preserve"> SUM(C106:C109)</f>
        <v>1.25</v>
      </c>
    </row>
    <row r="106" spans="2:3" x14ac:dyDescent="0.25">
      <c r="B106" s="138" t="str">
        <f xml:space="preserve"> B98</f>
        <v>Ruim</v>
      </c>
      <c r="C106" s="139">
        <v>0.63</v>
      </c>
    </row>
    <row r="107" spans="2:3" x14ac:dyDescent="0.25">
      <c r="B107" s="138" t="str">
        <f xml:space="preserve"> B99</f>
        <v>Regular</v>
      </c>
      <c r="C107" s="139">
        <v>0.37</v>
      </c>
    </row>
    <row r="108" spans="2:3" x14ac:dyDescent="0.25">
      <c r="B108" s="138" t="str">
        <f xml:space="preserve"> B100</f>
        <v>Bom</v>
      </c>
      <c r="C108" s="139">
        <v>0.15</v>
      </c>
    </row>
    <row r="109" spans="2:3" x14ac:dyDescent="0.25">
      <c r="B109" s="138" t="str">
        <f xml:space="preserve"> B101</f>
        <v>Ótimo</v>
      </c>
      <c r="C109" s="139">
        <v>0.1</v>
      </c>
    </row>
    <row r="110" spans="2:3" x14ac:dyDescent="0.25">
      <c r="B110" s="135"/>
      <c r="C110" s="135"/>
    </row>
    <row r="111" spans="2:3" x14ac:dyDescent="0.25">
      <c r="B111" s="138" t="s">
        <v>107</v>
      </c>
      <c r="C111" s="139"/>
    </row>
    <row r="112" spans="2:3" x14ac:dyDescent="0.25">
      <c r="B112" s="138" t="s">
        <v>106</v>
      </c>
      <c r="C112" s="138" t="s">
        <v>105</v>
      </c>
    </row>
    <row r="113" spans="2:3" x14ac:dyDescent="0.25">
      <c r="B113" s="143">
        <v>0</v>
      </c>
      <c r="C113" s="143">
        <v>0</v>
      </c>
    </row>
    <row r="114" spans="2:3" x14ac:dyDescent="0.25">
      <c r="B114" s="143">
        <f xml:space="preserve"> - COS(PI() * ABS($C$102 / $C$105))</f>
        <v>0.99999610842314379</v>
      </c>
      <c r="C114" s="143">
        <f xml:space="preserve"> SIN(PI() * ABS($C$102 / $C$105))</f>
        <v>2.7898276950504282E-3</v>
      </c>
    </row>
    <row r="117" spans="2:3" ht="31.5" x14ac:dyDescent="0.25">
      <c r="B117" s="144" t="s">
        <v>136</v>
      </c>
    </row>
    <row r="118" spans="2:3" x14ac:dyDescent="0.25">
      <c r="B118" s="128"/>
    </row>
    <row r="119" spans="2:3" ht="18.75" x14ac:dyDescent="0.3">
      <c r="B119" s="145">
        <v>0.5</v>
      </c>
    </row>
    <row r="120" spans="2:3" ht="18.75" x14ac:dyDescent="0.3">
      <c r="B120" s="145">
        <v>0.55000000000000004</v>
      </c>
    </row>
    <row r="121" spans="2:3" ht="18.75" x14ac:dyDescent="0.3">
      <c r="B121" s="145">
        <v>0.6</v>
      </c>
    </row>
    <row r="122" spans="2:3" ht="18.75" x14ac:dyDescent="0.3">
      <c r="B122" s="145">
        <v>0.65</v>
      </c>
    </row>
    <row r="123" spans="2:3" ht="18.75" x14ac:dyDescent="0.3">
      <c r="B123" s="145">
        <v>0.7</v>
      </c>
    </row>
    <row r="124" spans="2:3" ht="18.75" x14ac:dyDescent="0.3">
      <c r="B124" s="145">
        <v>0.75</v>
      </c>
    </row>
    <row r="125" spans="2:3" ht="18.75" x14ac:dyDescent="0.3">
      <c r="B125" s="145">
        <v>0.8</v>
      </c>
    </row>
    <row r="126" spans="2:3" ht="18.75" x14ac:dyDescent="0.3">
      <c r="B126" s="145">
        <v>0.85</v>
      </c>
    </row>
    <row r="127" spans="2:3" ht="18.75" x14ac:dyDescent="0.3">
      <c r="B127" s="145">
        <v>0.9</v>
      </c>
    </row>
    <row r="128" spans="2:3" ht="18.75" x14ac:dyDescent="0.3">
      <c r="B128" s="145">
        <v>0.95</v>
      </c>
    </row>
    <row r="129" spans="2:5" ht="18.75" x14ac:dyDescent="0.3">
      <c r="B129" s="145">
        <v>1</v>
      </c>
    </row>
    <row r="130" spans="2:5" x14ac:dyDescent="0.25">
      <c r="B130" s="122"/>
    </row>
    <row r="131" spans="2:5" x14ac:dyDescent="0.25">
      <c r="B131" s="122"/>
    </row>
    <row r="132" spans="2:5" x14ac:dyDescent="0.25">
      <c r="B132" s="122"/>
    </row>
    <row r="133" spans="2:5" ht="15.75" x14ac:dyDescent="0.25">
      <c r="B133" s="152" t="s">
        <v>139</v>
      </c>
      <c r="C133" s="133"/>
      <c r="E133" s="84" t="s">
        <v>143</v>
      </c>
    </row>
    <row r="134" spans="2:5" ht="15.75" x14ac:dyDescent="0.25">
      <c r="B134" s="146" t="s">
        <v>138</v>
      </c>
      <c r="C134" s="147">
        <f>Planejamento!AD8</f>
        <v>1438</v>
      </c>
      <c r="D134" s="1"/>
      <c r="E134" s="1"/>
    </row>
    <row r="135" spans="2:5" ht="18.75" x14ac:dyDescent="0.25">
      <c r="B135" s="146" t="s">
        <v>25</v>
      </c>
      <c r="C135" s="147">
        <f>Planejamento!AD9</f>
        <v>941.46344164268294</v>
      </c>
      <c r="D135" s="1"/>
      <c r="E135" s="155">
        <v>1</v>
      </c>
    </row>
    <row r="136" spans="2:5" ht="18.75" x14ac:dyDescent="0.25">
      <c r="B136" s="146" t="s">
        <v>114</v>
      </c>
      <c r="C136" s="147">
        <f>C134+(C135*4)</f>
        <v>5203.8537665707318</v>
      </c>
      <c r="D136" s="1"/>
      <c r="E136" s="155">
        <v>2</v>
      </c>
    </row>
    <row r="137" spans="2:5" ht="18.75" x14ac:dyDescent="0.25">
      <c r="B137" s="146" t="s">
        <v>127</v>
      </c>
      <c r="C137" s="147">
        <f>C134-(C135*4)</f>
        <v>-2327.8537665707318</v>
      </c>
      <c r="D137" s="1"/>
      <c r="E137" s="155">
        <v>3</v>
      </c>
    </row>
    <row r="138" spans="2:5" ht="18.75" x14ac:dyDescent="0.25">
      <c r="B138" s="148" t="s">
        <v>26</v>
      </c>
      <c r="C138" s="149">
        <f>COUNT(Planejamento!B45:B95)</f>
        <v>51</v>
      </c>
      <c r="D138" s="1"/>
      <c r="E138" s="155">
        <v>4</v>
      </c>
    </row>
    <row r="139" spans="2:5" ht="15.75" x14ac:dyDescent="0.25">
      <c r="B139" s="148" t="s">
        <v>128</v>
      </c>
      <c r="C139" s="147">
        <f>(C136-C137)/C138</f>
        <v>147.68053986551888</v>
      </c>
      <c r="D139" s="1"/>
      <c r="E139" s="1"/>
    </row>
    <row r="140" spans="2:5" ht="15.75" x14ac:dyDescent="0.25">
      <c r="B140" s="148" t="s">
        <v>129</v>
      </c>
      <c r="C140" s="147">
        <f>Planejamento!AH24</f>
        <v>496.53655835731706</v>
      </c>
      <c r="D140" s="1"/>
      <c r="E140" s="1"/>
    </row>
    <row r="141" spans="2:5" ht="15.75" x14ac:dyDescent="0.25">
      <c r="B141" s="148" t="s">
        <v>130</v>
      </c>
      <c r="C141" s="147">
        <f>Planejamento!AH23</f>
        <v>2379.4634416426829</v>
      </c>
      <c r="D141" s="1"/>
      <c r="E141" s="1"/>
    </row>
    <row r="142" spans="2:5" ht="15.75" x14ac:dyDescent="0.25">
      <c r="B142" s="1"/>
      <c r="C142" s="1"/>
      <c r="D142" s="1"/>
      <c r="E142" s="1"/>
    </row>
    <row r="143" spans="2:5" ht="31.5" x14ac:dyDescent="0.25">
      <c r="B143" s="151" t="s">
        <v>86</v>
      </c>
      <c r="C143" s="151" t="s">
        <v>131</v>
      </c>
      <c r="D143" s="151" t="s">
        <v>132</v>
      </c>
      <c r="E143" s="151" t="s">
        <v>133</v>
      </c>
    </row>
    <row r="144" spans="2:5" ht="15.75" x14ac:dyDescent="0.25">
      <c r="B144" s="149">
        <v>1</v>
      </c>
      <c r="C144" s="147">
        <f t="shared" ref="C144:C175" si="5">$C$137+(B144-1)*$C$139</f>
        <v>-2327.8537665707318</v>
      </c>
      <c r="D144" s="150">
        <f t="shared" ref="D144:D175" si="6">_xlfn.NORM.DIST(C144,$C$134,$C$135,FALSE)</f>
        <v>1.421512719934997E-7</v>
      </c>
      <c r="E144" s="149" t="str">
        <f t="shared" ref="E144:E175" si="7">IF(AND(C144&gt;=$C$140,C144&lt;=$C$141),D144,"")</f>
        <v/>
      </c>
    </row>
    <row r="145" spans="2:5" ht="15.75" x14ac:dyDescent="0.25">
      <c r="B145" s="149">
        <v>2</v>
      </c>
      <c r="C145" s="147">
        <f t="shared" si="5"/>
        <v>-2180.173226705213</v>
      </c>
      <c r="D145" s="150">
        <f t="shared" si="6"/>
        <v>2.6296996030920736E-7</v>
      </c>
      <c r="E145" s="149" t="str">
        <f t="shared" si="7"/>
        <v/>
      </c>
    </row>
    <row r="146" spans="2:5" ht="15.75" x14ac:dyDescent="0.25">
      <c r="B146" s="149">
        <v>3</v>
      </c>
      <c r="C146" s="147">
        <f t="shared" si="5"/>
        <v>-2032.492686839694</v>
      </c>
      <c r="D146" s="150">
        <f t="shared" si="6"/>
        <v>4.7465200073106004E-7</v>
      </c>
      <c r="E146" s="149" t="str">
        <f t="shared" si="7"/>
        <v/>
      </c>
    </row>
    <row r="147" spans="2:5" ht="15.75" x14ac:dyDescent="0.25">
      <c r="B147" s="149">
        <v>4</v>
      </c>
      <c r="C147" s="147">
        <f t="shared" si="5"/>
        <v>-1884.812146974175</v>
      </c>
      <c r="D147" s="150">
        <f t="shared" si="6"/>
        <v>8.3590760269390195E-7</v>
      </c>
      <c r="E147" s="149" t="str">
        <f t="shared" si="7"/>
        <v/>
      </c>
    </row>
    <row r="148" spans="2:5" ht="15.75" x14ac:dyDescent="0.25">
      <c r="B148" s="149">
        <v>5</v>
      </c>
      <c r="C148" s="147">
        <f t="shared" si="5"/>
        <v>-1737.1316071086562</v>
      </c>
      <c r="D148" s="150">
        <f t="shared" si="6"/>
        <v>1.4363326044355181E-6</v>
      </c>
      <c r="E148" s="149" t="str">
        <f t="shared" si="7"/>
        <v/>
      </c>
    </row>
    <row r="149" spans="2:5" ht="15.75" x14ac:dyDescent="0.25">
      <c r="B149" s="149">
        <v>6</v>
      </c>
      <c r="C149" s="147">
        <f t="shared" si="5"/>
        <v>-1589.4510672431375</v>
      </c>
      <c r="D149" s="150">
        <f t="shared" si="6"/>
        <v>2.40805025991816E-6</v>
      </c>
      <c r="E149" s="149" t="str">
        <f t="shared" si="7"/>
        <v/>
      </c>
    </row>
    <row r="150" spans="2:5" ht="15.75" x14ac:dyDescent="0.25">
      <c r="B150" s="149">
        <v>7</v>
      </c>
      <c r="C150" s="147">
        <f t="shared" si="5"/>
        <v>-1441.7705273776185</v>
      </c>
      <c r="D150" s="150">
        <f t="shared" si="6"/>
        <v>3.9390351805197284E-6</v>
      </c>
      <c r="E150" s="149" t="str">
        <f t="shared" si="7"/>
        <v/>
      </c>
    </row>
    <row r="151" spans="2:5" ht="15.75" x14ac:dyDescent="0.25">
      <c r="B151" s="149">
        <v>8</v>
      </c>
      <c r="C151" s="147">
        <f t="shared" si="5"/>
        <v>-1294.0899875120995</v>
      </c>
      <c r="D151" s="150">
        <f t="shared" si="6"/>
        <v>6.2867755648637995E-6</v>
      </c>
      <c r="E151" s="149" t="str">
        <f t="shared" si="7"/>
        <v/>
      </c>
    </row>
    <row r="152" spans="2:5" ht="15.75" x14ac:dyDescent="0.25">
      <c r="B152" s="149">
        <v>9</v>
      </c>
      <c r="C152" s="147">
        <f t="shared" si="5"/>
        <v>-1146.4094476465807</v>
      </c>
      <c r="D152" s="150">
        <f t="shared" si="6"/>
        <v>9.7899356635409707E-6</v>
      </c>
      <c r="E152" s="149" t="str">
        <f t="shared" si="7"/>
        <v/>
      </c>
    </row>
    <row r="153" spans="2:5" ht="15.75" x14ac:dyDescent="0.25">
      <c r="B153" s="149">
        <v>10</v>
      </c>
      <c r="C153" s="147">
        <f t="shared" si="5"/>
        <v>-998.72890778106193</v>
      </c>
      <c r="D153" s="150">
        <f t="shared" si="6"/>
        <v>1.4874607112309597E-5</v>
      </c>
      <c r="E153" s="149" t="str">
        <f t="shared" si="7"/>
        <v/>
      </c>
    </row>
    <row r="154" spans="2:5" ht="15.75" x14ac:dyDescent="0.25">
      <c r="B154" s="149">
        <v>11</v>
      </c>
      <c r="C154" s="147">
        <f t="shared" si="5"/>
        <v>-851.04836791554294</v>
      </c>
      <c r="D154" s="150">
        <f t="shared" si="6"/>
        <v>2.2050830625192441E-5</v>
      </c>
      <c r="E154" s="149" t="str">
        <f t="shared" si="7"/>
        <v/>
      </c>
    </row>
    <row r="155" spans="2:5" ht="15.75" x14ac:dyDescent="0.25">
      <c r="B155" s="149">
        <v>12</v>
      </c>
      <c r="C155" s="147">
        <f t="shared" si="5"/>
        <v>-703.36782805002395</v>
      </c>
      <c r="D155" s="150">
        <f t="shared" si="6"/>
        <v>3.1894675487937432E-5</v>
      </c>
      <c r="E155" s="149" t="str">
        <f t="shared" si="7"/>
        <v/>
      </c>
    </row>
    <row r="156" spans="2:5" ht="15.75" x14ac:dyDescent="0.25">
      <c r="B156" s="149">
        <v>13</v>
      </c>
      <c r="C156" s="147">
        <f t="shared" si="5"/>
        <v>-555.68728818450518</v>
      </c>
      <c r="D156" s="150">
        <f t="shared" si="6"/>
        <v>4.5011678325746999E-5</v>
      </c>
      <c r="E156" s="149" t="str">
        <f t="shared" si="7"/>
        <v/>
      </c>
    </row>
    <row r="157" spans="2:5" ht="15.75" x14ac:dyDescent="0.25">
      <c r="B157" s="149">
        <v>14</v>
      </c>
      <c r="C157" s="147">
        <f t="shared" si="5"/>
        <v>-408.00674831898641</v>
      </c>
      <c r="D157" s="150">
        <f t="shared" si="6"/>
        <v>6.1979206195464156E-5</v>
      </c>
      <c r="E157" s="149" t="str">
        <f t="shared" si="7"/>
        <v/>
      </c>
    </row>
    <row r="158" spans="2:5" ht="15.75" x14ac:dyDescent="0.25">
      <c r="B158" s="149">
        <v>15</v>
      </c>
      <c r="C158" s="147">
        <f t="shared" si="5"/>
        <v>-260.32620845346719</v>
      </c>
      <c r="D158" s="150">
        <f t="shared" si="6"/>
        <v>8.326847235889503E-5</v>
      </c>
      <c r="E158" s="149" t="str">
        <f t="shared" si="7"/>
        <v/>
      </c>
    </row>
    <row r="159" spans="2:5" ht="15.75" x14ac:dyDescent="0.25">
      <c r="B159" s="149">
        <v>16</v>
      </c>
      <c r="C159" s="147">
        <f t="shared" si="5"/>
        <v>-112.64566858794842</v>
      </c>
      <c r="D159" s="150">
        <f t="shared" si="6"/>
        <v>1.0915131420056231E-4</v>
      </c>
      <c r="E159" s="149" t="str">
        <f t="shared" si="7"/>
        <v/>
      </c>
    </row>
    <row r="160" spans="2:5" ht="15.75" x14ac:dyDescent="0.25">
      <c r="B160" s="149">
        <v>17</v>
      </c>
      <c r="C160" s="147">
        <f t="shared" si="5"/>
        <v>35.034871277570346</v>
      </c>
      <c r="D160" s="150">
        <f t="shared" si="6"/>
        <v>1.3960183448291768E-4</v>
      </c>
      <c r="E160" s="149" t="str">
        <f t="shared" si="7"/>
        <v/>
      </c>
    </row>
    <row r="161" spans="2:5" ht="15.75" x14ac:dyDescent="0.25">
      <c r="B161" s="149">
        <v>18</v>
      </c>
      <c r="C161" s="147">
        <f t="shared" si="5"/>
        <v>182.71541114308911</v>
      </c>
      <c r="D161" s="150">
        <f t="shared" si="6"/>
        <v>1.7420758727479182E-4</v>
      </c>
      <c r="E161" s="149" t="str">
        <f t="shared" si="7"/>
        <v/>
      </c>
    </row>
    <row r="162" spans="2:5" ht="15.75" x14ac:dyDescent="0.25">
      <c r="B162" s="149">
        <v>19</v>
      </c>
      <c r="C162" s="147">
        <f t="shared" si="5"/>
        <v>330.39595100860788</v>
      </c>
      <c r="D162" s="150">
        <f t="shared" si="6"/>
        <v>2.1210787398984876E-4</v>
      </c>
      <c r="E162" s="149" t="str">
        <f t="shared" si="7"/>
        <v/>
      </c>
    </row>
    <row r="163" spans="2:5" ht="15.75" x14ac:dyDescent="0.25">
      <c r="B163" s="149">
        <v>20</v>
      </c>
      <c r="C163" s="147">
        <f t="shared" si="5"/>
        <v>478.0764908741271</v>
      </c>
      <c r="D163" s="150">
        <f t="shared" si="6"/>
        <v>2.5197665149711467E-4</v>
      </c>
      <c r="E163" s="149" t="str">
        <f t="shared" si="7"/>
        <v/>
      </c>
    </row>
    <row r="164" spans="2:5" ht="15.75" x14ac:dyDescent="0.25">
      <c r="B164" s="149">
        <v>21</v>
      </c>
      <c r="C164" s="147">
        <f t="shared" si="5"/>
        <v>625.75703073964587</v>
      </c>
      <c r="D164" s="150">
        <f t="shared" si="6"/>
        <v>2.9206370761293332E-4</v>
      </c>
      <c r="E164" s="149">
        <f t="shared" si="7"/>
        <v>2.9206370761293332E-4</v>
      </c>
    </row>
    <row r="165" spans="2:5" ht="15.75" x14ac:dyDescent="0.25">
      <c r="B165" s="149">
        <v>22</v>
      </c>
      <c r="C165" s="147">
        <f t="shared" si="5"/>
        <v>773.43757060516464</v>
      </c>
      <c r="D165" s="150">
        <f t="shared" si="6"/>
        <v>3.3030007492180347E-4</v>
      </c>
      <c r="E165" s="149">
        <f t="shared" si="7"/>
        <v>3.3030007492180347E-4</v>
      </c>
    </row>
    <row r="166" spans="2:5" ht="15.75" x14ac:dyDescent="0.25">
      <c r="B166" s="149">
        <v>23</v>
      </c>
      <c r="C166" s="147">
        <f t="shared" si="5"/>
        <v>921.11811047068386</v>
      </c>
      <c r="D166" s="150">
        <f t="shared" si="6"/>
        <v>3.6446307473133699E-4</v>
      </c>
      <c r="E166" s="149">
        <f t="shared" si="7"/>
        <v>3.6446307473133699E-4</v>
      </c>
    </row>
    <row r="167" spans="2:5" ht="15.75" x14ac:dyDescent="0.25">
      <c r="B167" s="149">
        <v>24</v>
      </c>
      <c r="C167" s="147">
        <f t="shared" si="5"/>
        <v>1068.7986503362026</v>
      </c>
      <c r="D167" s="150">
        <f t="shared" si="6"/>
        <v>3.923848054411469E-4</v>
      </c>
      <c r="E167" s="149">
        <f t="shared" si="7"/>
        <v>3.923848054411469E-4</v>
      </c>
    </row>
    <row r="168" spans="2:5" ht="15.75" x14ac:dyDescent="0.25">
      <c r="B168" s="149">
        <v>25</v>
      </c>
      <c r="C168" s="147">
        <f t="shared" si="5"/>
        <v>1216.4791902017214</v>
      </c>
      <c r="D168" s="150">
        <f t="shared" si="6"/>
        <v>4.1217781515508163E-4</v>
      </c>
      <c r="E168" s="149">
        <f t="shared" si="7"/>
        <v>4.1217781515508163E-4</v>
      </c>
    </row>
    <row r="169" spans="2:5" ht="15.75" x14ac:dyDescent="0.25">
      <c r="B169" s="149">
        <v>26</v>
      </c>
      <c r="C169" s="147">
        <f t="shared" si="5"/>
        <v>1364.1597300672402</v>
      </c>
      <c r="D169" s="150">
        <f t="shared" si="6"/>
        <v>4.2244563637779266E-4</v>
      </c>
      <c r="E169" s="149">
        <f t="shared" si="7"/>
        <v>4.2244563637779266E-4</v>
      </c>
    </row>
    <row r="170" spans="2:5" ht="15.75" x14ac:dyDescent="0.25">
      <c r="B170" s="149">
        <v>27</v>
      </c>
      <c r="C170" s="147">
        <f t="shared" si="5"/>
        <v>1511.8402699327589</v>
      </c>
      <c r="D170" s="150">
        <f t="shared" si="6"/>
        <v>4.2244563637779266E-4</v>
      </c>
      <c r="E170" s="149">
        <f t="shared" si="7"/>
        <v>4.2244563637779266E-4</v>
      </c>
    </row>
    <row r="171" spans="2:5" ht="15.75" x14ac:dyDescent="0.25">
      <c r="B171" s="149">
        <v>28</v>
      </c>
      <c r="C171" s="147">
        <f t="shared" si="5"/>
        <v>1659.5208097982782</v>
      </c>
      <c r="D171" s="150">
        <f t="shared" si="6"/>
        <v>4.1217781515508173E-4</v>
      </c>
      <c r="E171" s="149">
        <f t="shared" si="7"/>
        <v>4.1217781515508173E-4</v>
      </c>
    </row>
    <row r="172" spans="2:5" ht="15.75" x14ac:dyDescent="0.25">
      <c r="B172" s="149">
        <v>29</v>
      </c>
      <c r="C172" s="147">
        <f t="shared" si="5"/>
        <v>1807.2013496637974</v>
      </c>
      <c r="D172" s="150">
        <f t="shared" si="6"/>
        <v>3.923848054411469E-4</v>
      </c>
      <c r="E172" s="149">
        <f t="shared" si="7"/>
        <v>3.923848054411469E-4</v>
      </c>
    </row>
    <row r="173" spans="2:5" ht="15.75" x14ac:dyDescent="0.25">
      <c r="B173" s="149">
        <v>30</v>
      </c>
      <c r="C173" s="147">
        <f t="shared" si="5"/>
        <v>1954.8818895293161</v>
      </c>
      <c r="D173" s="150">
        <f t="shared" si="6"/>
        <v>3.6446307473133699E-4</v>
      </c>
      <c r="E173" s="149">
        <f t="shared" si="7"/>
        <v>3.6446307473133699E-4</v>
      </c>
    </row>
    <row r="174" spans="2:5" ht="15.75" x14ac:dyDescent="0.25">
      <c r="B174" s="149">
        <v>31</v>
      </c>
      <c r="C174" s="147">
        <f t="shared" si="5"/>
        <v>2102.5624293948349</v>
      </c>
      <c r="D174" s="150">
        <f t="shared" si="6"/>
        <v>3.3030007492180352E-4</v>
      </c>
      <c r="E174" s="149">
        <f t="shared" si="7"/>
        <v>3.3030007492180352E-4</v>
      </c>
    </row>
    <row r="175" spans="2:5" ht="15.75" x14ac:dyDescent="0.25">
      <c r="B175" s="149">
        <v>32</v>
      </c>
      <c r="C175" s="147">
        <f t="shared" si="5"/>
        <v>2250.2429692603537</v>
      </c>
      <c r="D175" s="150">
        <f t="shared" si="6"/>
        <v>2.9206370761293348E-4</v>
      </c>
      <c r="E175" s="149">
        <f t="shared" si="7"/>
        <v>2.9206370761293348E-4</v>
      </c>
    </row>
    <row r="176" spans="2:5" ht="15.75" x14ac:dyDescent="0.25">
      <c r="B176" s="149">
        <v>33</v>
      </c>
      <c r="C176" s="147">
        <f t="shared" ref="C176:C194" si="8">$C$137+(B176-1)*$C$139</f>
        <v>2397.9235091258724</v>
      </c>
      <c r="D176" s="150">
        <f t="shared" ref="D176:D194" si="9">_xlfn.NORM.DIST(C176,$C$134,$C$135,FALSE)</f>
        <v>2.5197665149711478E-4</v>
      </c>
      <c r="E176" s="149" t="str">
        <f t="shared" ref="E176:E194" si="10">IF(AND(C176&gt;=$C$140,C176&lt;=$C$141),D176,"")</f>
        <v/>
      </c>
    </row>
    <row r="177" spans="2:5" ht="15.75" x14ac:dyDescent="0.25">
      <c r="B177" s="149">
        <v>34</v>
      </c>
      <c r="C177" s="147">
        <f t="shared" si="8"/>
        <v>2545.6040489913912</v>
      </c>
      <c r="D177" s="150">
        <f t="shared" si="9"/>
        <v>2.1210787398984903E-4</v>
      </c>
      <c r="E177" s="149" t="str">
        <f t="shared" si="10"/>
        <v/>
      </c>
    </row>
    <row r="178" spans="2:5" ht="15.75" x14ac:dyDescent="0.25">
      <c r="B178" s="149">
        <v>35</v>
      </c>
      <c r="C178" s="147">
        <f t="shared" si="8"/>
        <v>2693.28458885691</v>
      </c>
      <c r="D178" s="150">
        <f t="shared" si="9"/>
        <v>1.7420758727479206E-4</v>
      </c>
      <c r="E178" s="149" t="str">
        <f t="shared" si="10"/>
        <v/>
      </c>
    </row>
    <row r="179" spans="2:5" ht="15.75" x14ac:dyDescent="0.25">
      <c r="B179" s="149">
        <v>36</v>
      </c>
      <c r="C179" s="147">
        <f t="shared" si="8"/>
        <v>2840.9651287224287</v>
      </c>
      <c r="D179" s="150">
        <f t="shared" si="9"/>
        <v>1.3960183448291793E-4</v>
      </c>
      <c r="E179" s="149" t="str">
        <f t="shared" si="10"/>
        <v/>
      </c>
    </row>
    <row r="180" spans="2:5" ht="15.75" x14ac:dyDescent="0.25">
      <c r="B180" s="149">
        <v>37</v>
      </c>
      <c r="C180" s="147">
        <f t="shared" si="8"/>
        <v>2988.6456685879475</v>
      </c>
      <c r="D180" s="150">
        <f t="shared" si="9"/>
        <v>1.091513142005625E-4</v>
      </c>
      <c r="E180" s="149" t="str">
        <f t="shared" si="10"/>
        <v/>
      </c>
    </row>
    <row r="181" spans="2:5" ht="15.75" x14ac:dyDescent="0.25">
      <c r="B181" s="149">
        <v>38</v>
      </c>
      <c r="C181" s="147">
        <f t="shared" si="8"/>
        <v>3136.3262084534672</v>
      </c>
      <c r="D181" s="150">
        <f t="shared" si="9"/>
        <v>8.326847235889503E-5</v>
      </c>
      <c r="E181" s="149" t="str">
        <f t="shared" si="10"/>
        <v/>
      </c>
    </row>
    <row r="182" spans="2:5" ht="15.75" x14ac:dyDescent="0.25">
      <c r="B182" s="149">
        <v>39</v>
      </c>
      <c r="C182" s="147">
        <f t="shared" si="8"/>
        <v>3284.006748318986</v>
      </c>
      <c r="D182" s="150">
        <f t="shared" si="9"/>
        <v>6.1979206195464238E-5</v>
      </c>
      <c r="E182" s="149" t="str">
        <f t="shared" si="10"/>
        <v/>
      </c>
    </row>
    <row r="183" spans="2:5" ht="15.75" x14ac:dyDescent="0.25">
      <c r="B183" s="149">
        <v>40</v>
      </c>
      <c r="C183" s="147">
        <f t="shared" si="8"/>
        <v>3431.6872881845047</v>
      </c>
      <c r="D183" s="150">
        <f t="shared" si="9"/>
        <v>4.501167832574704E-5</v>
      </c>
      <c r="E183" s="149" t="str">
        <f t="shared" si="10"/>
        <v/>
      </c>
    </row>
    <row r="184" spans="2:5" ht="15.75" x14ac:dyDescent="0.25">
      <c r="B184" s="149">
        <v>41</v>
      </c>
      <c r="C184" s="147">
        <f t="shared" si="8"/>
        <v>3579.3678280500235</v>
      </c>
      <c r="D184" s="150">
        <f t="shared" si="9"/>
        <v>3.1894675487937466E-5</v>
      </c>
      <c r="E184" s="149" t="str">
        <f t="shared" si="10"/>
        <v/>
      </c>
    </row>
    <row r="185" spans="2:5" ht="15.75" x14ac:dyDescent="0.25">
      <c r="B185" s="149">
        <v>42</v>
      </c>
      <c r="C185" s="147">
        <f t="shared" si="8"/>
        <v>3727.0483679155423</v>
      </c>
      <c r="D185" s="150">
        <f t="shared" si="9"/>
        <v>2.2050830625192492E-5</v>
      </c>
      <c r="E185" s="149" t="str">
        <f t="shared" si="10"/>
        <v/>
      </c>
    </row>
    <row r="186" spans="2:5" ht="15.75" x14ac:dyDescent="0.25">
      <c r="B186" s="149">
        <v>43</v>
      </c>
      <c r="C186" s="147">
        <f t="shared" si="8"/>
        <v>3874.728907781061</v>
      </c>
      <c r="D186" s="150">
        <f t="shared" si="9"/>
        <v>1.4874607112309629E-5</v>
      </c>
      <c r="E186" s="149" t="str">
        <f t="shared" si="10"/>
        <v/>
      </c>
    </row>
    <row r="187" spans="2:5" ht="15.75" x14ac:dyDescent="0.25">
      <c r="B187" s="149">
        <v>44</v>
      </c>
      <c r="C187" s="147">
        <f t="shared" si="8"/>
        <v>4022.4094476465798</v>
      </c>
      <c r="D187" s="150">
        <f t="shared" si="9"/>
        <v>9.7899356635409961E-6</v>
      </c>
      <c r="E187" s="149" t="str">
        <f t="shared" si="10"/>
        <v/>
      </c>
    </row>
    <row r="188" spans="2:5" ht="15.75" x14ac:dyDescent="0.25">
      <c r="B188" s="149">
        <v>45</v>
      </c>
      <c r="C188" s="147">
        <f t="shared" si="8"/>
        <v>4170.0899875120995</v>
      </c>
      <c r="D188" s="150">
        <f t="shared" si="9"/>
        <v>6.2867755648637995E-6</v>
      </c>
      <c r="E188" s="149" t="str">
        <f t="shared" si="10"/>
        <v/>
      </c>
    </row>
    <row r="189" spans="2:5" ht="15.75" x14ac:dyDescent="0.25">
      <c r="B189" s="149">
        <v>46</v>
      </c>
      <c r="C189" s="147">
        <f t="shared" si="8"/>
        <v>4317.7705273776182</v>
      </c>
      <c r="D189" s="150">
        <f t="shared" si="9"/>
        <v>3.9390351805197284E-6</v>
      </c>
      <c r="E189" s="149" t="str">
        <f t="shared" si="10"/>
        <v/>
      </c>
    </row>
    <row r="190" spans="2:5" ht="15.75" x14ac:dyDescent="0.25">
      <c r="B190" s="149">
        <v>47</v>
      </c>
      <c r="C190" s="147">
        <f t="shared" si="8"/>
        <v>4465.451067243137</v>
      </c>
      <c r="D190" s="150">
        <f t="shared" si="9"/>
        <v>2.4080502599181616E-6</v>
      </c>
      <c r="E190" s="149" t="str">
        <f t="shared" si="10"/>
        <v/>
      </c>
    </row>
    <row r="191" spans="2:5" ht="15.75" x14ac:dyDescent="0.25">
      <c r="B191" s="149">
        <v>48</v>
      </c>
      <c r="C191" s="147">
        <f t="shared" si="8"/>
        <v>4613.1316071086558</v>
      </c>
      <c r="D191" s="150">
        <f t="shared" si="9"/>
        <v>1.4363326044355194E-6</v>
      </c>
      <c r="E191" s="149" t="str">
        <f t="shared" si="10"/>
        <v/>
      </c>
    </row>
    <row r="192" spans="2:5" ht="15.75" x14ac:dyDescent="0.25">
      <c r="B192" s="149">
        <v>49</v>
      </c>
      <c r="C192" s="147">
        <f t="shared" si="8"/>
        <v>4760.8121469741745</v>
      </c>
      <c r="D192" s="150">
        <f t="shared" si="9"/>
        <v>8.3590760269390353E-7</v>
      </c>
      <c r="E192" s="149" t="str">
        <f t="shared" si="10"/>
        <v/>
      </c>
    </row>
    <row r="193" spans="2:63" ht="15.75" x14ac:dyDescent="0.25">
      <c r="B193" s="149">
        <v>50</v>
      </c>
      <c r="C193" s="147">
        <f t="shared" si="8"/>
        <v>4908.4926868396933</v>
      </c>
      <c r="D193" s="150">
        <f t="shared" si="9"/>
        <v>4.7465200073106131E-7</v>
      </c>
      <c r="E193" s="149" t="str">
        <f t="shared" si="10"/>
        <v/>
      </c>
    </row>
    <row r="194" spans="2:63" ht="15.75" x14ac:dyDescent="0.25">
      <c r="B194" s="149">
        <v>51</v>
      </c>
      <c r="C194" s="147">
        <f t="shared" si="8"/>
        <v>5056.1732267052121</v>
      </c>
      <c r="D194" s="150">
        <f t="shared" si="9"/>
        <v>2.6296996030920831E-7</v>
      </c>
      <c r="E194" s="149" t="str">
        <f t="shared" si="10"/>
        <v/>
      </c>
    </row>
    <row r="197" spans="2:63" x14ac:dyDescent="0.25">
      <c r="B197" s="170" t="s">
        <v>156</v>
      </c>
      <c r="C197" s="169"/>
    </row>
    <row r="199" spans="2:63" x14ac:dyDescent="0.25">
      <c r="C199" s="122">
        <v>1</v>
      </c>
      <c r="D199" s="122">
        <v>2</v>
      </c>
      <c r="E199" s="122">
        <v>3</v>
      </c>
      <c r="F199" s="122">
        <v>4</v>
      </c>
      <c r="G199" s="122">
        <v>5</v>
      </c>
      <c r="H199" s="122">
        <v>6</v>
      </c>
      <c r="I199" s="122">
        <v>7</v>
      </c>
      <c r="J199" s="122">
        <v>8</v>
      </c>
      <c r="K199" s="122">
        <v>9</v>
      </c>
      <c r="L199" s="122">
        <v>10</v>
      </c>
      <c r="M199" s="122">
        <v>11</v>
      </c>
      <c r="N199" s="122">
        <v>12</v>
      </c>
      <c r="O199" s="122">
        <v>13</v>
      </c>
      <c r="P199" s="122">
        <v>14</v>
      </c>
      <c r="Q199" s="122">
        <v>15</v>
      </c>
      <c r="R199" s="122">
        <v>16</v>
      </c>
      <c r="S199" s="122">
        <v>17</v>
      </c>
      <c r="T199" s="122">
        <v>18</v>
      </c>
      <c r="U199" s="122">
        <v>19</v>
      </c>
      <c r="V199" s="122">
        <v>20</v>
      </c>
      <c r="W199" s="122">
        <v>21</v>
      </c>
      <c r="X199" s="122">
        <v>22</v>
      </c>
      <c r="Y199" s="122">
        <v>23</v>
      </c>
      <c r="Z199" s="122">
        <v>24</v>
      </c>
      <c r="AA199" s="122">
        <v>25</v>
      </c>
      <c r="AB199" s="122">
        <v>26</v>
      </c>
      <c r="AC199" s="122">
        <v>27</v>
      </c>
      <c r="AD199" s="122">
        <v>28</v>
      </c>
      <c r="AE199" s="122">
        <v>29</v>
      </c>
      <c r="AF199" s="122">
        <v>30</v>
      </c>
      <c r="AG199" s="122">
        <v>31</v>
      </c>
      <c r="AH199" s="122">
        <v>32</v>
      </c>
      <c r="AI199" s="122">
        <v>33</v>
      </c>
      <c r="AJ199" s="122">
        <v>34</v>
      </c>
      <c r="AK199" s="122">
        <v>35</v>
      </c>
      <c r="AL199" s="122">
        <v>36</v>
      </c>
      <c r="AM199" s="122">
        <v>37</v>
      </c>
      <c r="AN199" s="122">
        <v>38</v>
      </c>
      <c r="AO199" s="122">
        <v>39</v>
      </c>
      <c r="AP199" s="122">
        <v>40</v>
      </c>
      <c r="AQ199" s="122">
        <v>41</v>
      </c>
      <c r="AR199" s="122">
        <v>42</v>
      </c>
      <c r="AS199" s="122">
        <v>43</v>
      </c>
      <c r="AT199" s="122">
        <v>44</v>
      </c>
      <c r="AU199" s="122">
        <v>45</v>
      </c>
      <c r="AV199" s="122">
        <v>46</v>
      </c>
      <c r="AW199" s="122">
        <v>47</v>
      </c>
      <c r="AX199" s="122">
        <v>48</v>
      </c>
      <c r="AY199" s="122">
        <v>49</v>
      </c>
      <c r="AZ199" s="122">
        <v>50</v>
      </c>
      <c r="BA199" s="122">
        <v>51</v>
      </c>
      <c r="BB199" s="122">
        <v>52</v>
      </c>
      <c r="BC199" s="122">
        <v>53</v>
      </c>
      <c r="BD199" s="122">
        <v>54</v>
      </c>
      <c r="BE199" s="122">
        <v>55</v>
      </c>
      <c r="BF199" s="122">
        <v>56</v>
      </c>
      <c r="BG199" s="122">
        <v>57</v>
      </c>
      <c r="BH199" s="122">
        <v>58</v>
      </c>
      <c r="BI199" s="122">
        <v>59</v>
      </c>
      <c r="BJ199" s="122">
        <v>60</v>
      </c>
    </row>
    <row r="200" spans="2:63" x14ac:dyDescent="0.25">
      <c r="B200" s="84" t="s">
        <v>138</v>
      </c>
      <c r="C200" s="163">
        <f>Planejamento!F36</f>
        <v>0</v>
      </c>
      <c r="D200" s="163">
        <f>Planejamento!F37</f>
        <v>0</v>
      </c>
      <c r="E200" s="163">
        <f>Planejamento!$F$38</f>
        <v>0</v>
      </c>
      <c r="F200" s="163">
        <f>Planejamento!$F$39</f>
        <v>0</v>
      </c>
      <c r="G200" s="163">
        <f>Planejamento!$F$40</f>
        <v>0</v>
      </c>
      <c r="H200" s="163">
        <f>Planejamento!$F$41</f>
        <v>0</v>
      </c>
      <c r="I200" s="163">
        <f>Planejamento!$F$42</f>
        <v>2293</v>
      </c>
      <c r="J200" s="163">
        <f>Planejamento!$F$43</f>
        <v>2038</v>
      </c>
      <c r="K200" s="163">
        <f>Planejamento!$F$44</f>
        <v>488</v>
      </c>
      <c r="L200" s="163">
        <f>Planejamento!$F$45</f>
        <v>572</v>
      </c>
      <c r="M200" s="163">
        <f>Planejamento!$F$46</f>
        <v>488</v>
      </c>
      <c r="N200" s="163">
        <f>Planejamento!$F$47</f>
        <v>2825</v>
      </c>
      <c r="O200" s="163">
        <f>Planejamento!$F$48</f>
        <v>444</v>
      </c>
      <c r="P200" s="163">
        <f>Planejamento!$F$49</f>
        <v>2597</v>
      </c>
      <c r="Q200" s="163">
        <f>Planejamento!$F$50</f>
        <v>888</v>
      </c>
      <c r="R200" s="163">
        <f>Planejamento!$F$51</f>
        <v>1454</v>
      </c>
      <c r="S200" s="163">
        <f>Planejamento!$F$52</f>
        <v>220</v>
      </c>
      <c r="T200" s="163">
        <f>Planejamento!$F$53</f>
        <v>288</v>
      </c>
      <c r="U200" s="163">
        <f>Planejamento!$F$54</f>
        <v>476</v>
      </c>
      <c r="V200" s="163">
        <f>Planejamento!$F$55</f>
        <v>744</v>
      </c>
      <c r="W200" s="163">
        <f>Planejamento!$F$56</f>
        <v>476</v>
      </c>
      <c r="X200" s="163">
        <f>Planejamento!$F$57</f>
        <v>1494</v>
      </c>
      <c r="Y200" s="163">
        <f>Planejamento!$F$58</f>
        <v>2224</v>
      </c>
      <c r="Z200" s="163">
        <f>Planejamento!$F$59</f>
        <v>672</v>
      </c>
      <c r="AA200" s="163">
        <f>Planejamento!$F$60</f>
        <v>2922</v>
      </c>
      <c r="AB200" s="163">
        <f>Planejamento!$F$61</f>
        <v>253</v>
      </c>
      <c r="AC200" s="163">
        <f>Planejamento!$F$62</f>
        <v>2243</v>
      </c>
      <c r="AD200" s="163">
        <f>Planejamento!$F$63</f>
        <v>170</v>
      </c>
      <c r="AE200" s="163">
        <f>Planejamento!$F$64</f>
        <v>220</v>
      </c>
      <c r="AF200" s="163">
        <f>Planejamento!$F$65</f>
        <v>2038</v>
      </c>
      <c r="AG200" s="163">
        <f>Planejamento!$F$66</f>
        <v>1676</v>
      </c>
      <c r="AH200" s="163">
        <f>Planejamento!$F$67</f>
        <v>672</v>
      </c>
      <c r="AI200" s="163">
        <f>Planejamento!$F$68</f>
        <v>2998</v>
      </c>
      <c r="AJ200" s="163">
        <f>Planejamento!$F$69</f>
        <v>1355</v>
      </c>
      <c r="AK200" s="163">
        <f>Planejamento!$F$70</f>
        <v>672</v>
      </c>
      <c r="AL200" s="163">
        <f>Planejamento!$F$71</f>
        <v>1960</v>
      </c>
      <c r="AM200" s="163">
        <f>Planejamento!$F$72</f>
        <v>3180</v>
      </c>
      <c r="AN200" s="163">
        <f>Planejamento!$F$73</f>
        <v>2224</v>
      </c>
      <c r="AO200" s="163">
        <f>Planejamento!$F$74</f>
        <v>391</v>
      </c>
      <c r="AP200" s="163">
        <f>Planejamento!$F$75</f>
        <v>2164</v>
      </c>
      <c r="AQ200" s="163">
        <f>Planejamento!$F$76</f>
        <v>1900</v>
      </c>
      <c r="AR200" s="163">
        <f>Planejamento!$F$77</f>
        <v>3046</v>
      </c>
      <c r="AS200" s="163">
        <f>Planejamento!$F$78</f>
        <v>2922</v>
      </c>
      <c r="AT200" s="163">
        <f>Planejamento!$F$79</f>
        <v>1814</v>
      </c>
      <c r="AU200" s="163">
        <f>Planejamento!$F$80</f>
        <v>1593</v>
      </c>
      <c r="AV200" s="163">
        <f>Planejamento!$F$81</f>
        <v>276</v>
      </c>
      <c r="AW200" s="163">
        <f>Planejamento!$F$82</f>
        <v>1900</v>
      </c>
      <c r="AX200" s="163">
        <f>Planejamento!$F$83</f>
        <v>2408</v>
      </c>
      <c r="AY200" s="163">
        <f>Planejamento!$F$84</f>
        <v>476</v>
      </c>
      <c r="AZ200" s="163">
        <f>Planejamento!$F$85</f>
        <v>1913</v>
      </c>
      <c r="BA200" s="163">
        <f>Planejamento!$F$86</f>
        <v>744</v>
      </c>
      <c r="BB200" s="163">
        <f>Planejamento!$F$87</f>
        <v>2257</v>
      </c>
      <c r="BC200" s="163">
        <f>Planejamento!$F$88</f>
        <v>1960</v>
      </c>
      <c r="BD200" s="163">
        <f>Planejamento!$F$89</f>
        <v>459</v>
      </c>
      <c r="BE200" s="163">
        <f>Planejamento!$F$90</f>
        <v>1676</v>
      </c>
      <c r="BF200" s="163">
        <f>Planejamento!$F$91</f>
        <v>220</v>
      </c>
      <c r="BG200" s="163">
        <f>Planejamento!$F$92</f>
        <v>2293</v>
      </c>
      <c r="BH200" s="163">
        <f>Planejamento!$F$93</f>
        <v>1477</v>
      </c>
      <c r="BI200" s="163">
        <f>Planejamento!$F$94</f>
        <v>2225</v>
      </c>
      <c r="BJ200" s="163">
        <f>Planejamento!$F$95</f>
        <v>253</v>
      </c>
    </row>
    <row r="201" spans="2:63" x14ac:dyDescent="0.25">
      <c r="B201" s="84" t="s">
        <v>150</v>
      </c>
      <c r="C201" s="163">
        <f>Planejamento!$AH$24</f>
        <v>496.53655835731706</v>
      </c>
      <c r="D201" s="163">
        <f>C201</f>
        <v>496.53655835731706</v>
      </c>
      <c r="E201" s="163">
        <f t="shared" ref="E201:BJ201" si="11">D201</f>
        <v>496.53655835731706</v>
      </c>
      <c r="F201" s="163">
        <f t="shared" si="11"/>
        <v>496.53655835731706</v>
      </c>
      <c r="G201" s="163">
        <f t="shared" si="11"/>
        <v>496.53655835731706</v>
      </c>
      <c r="H201" s="163">
        <f t="shared" si="11"/>
        <v>496.53655835731706</v>
      </c>
      <c r="I201" s="163">
        <f t="shared" si="11"/>
        <v>496.53655835731706</v>
      </c>
      <c r="J201" s="163">
        <f t="shared" si="11"/>
        <v>496.53655835731706</v>
      </c>
      <c r="K201" s="163">
        <f t="shared" si="11"/>
        <v>496.53655835731706</v>
      </c>
      <c r="L201" s="163">
        <f t="shared" si="11"/>
        <v>496.53655835731706</v>
      </c>
      <c r="M201" s="163">
        <f t="shared" si="11"/>
        <v>496.53655835731706</v>
      </c>
      <c r="N201" s="163">
        <f t="shared" si="11"/>
        <v>496.53655835731706</v>
      </c>
      <c r="O201" s="163">
        <f t="shared" si="11"/>
        <v>496.53655835731706</v>
      </c>
      <c r="P201" s="163">
        <f t="shared" si="11"/>
        <v>496.53655835731706</v>
      </c>
      <c r="Q201" s="163">
        <f t="shared" si="11"/>
        <v>496.53655835731706</v>
      </c>
      <c r="R201" s="163">
        <f t="shared" si="11"/>
        <v>496.53655835731706</v>
      </c>
      <c r="S201" s="163">
        <f t="shared" si="11"/>
        <v>496.53655835731706</v>
      </c>
      <c r="T201" s="163">
        <f t="shared" si="11"/>
        <v>496.53655835731706</v>
      </c>
      <c r="U201" s="163">
        <f t="shared" si="11"/>
        <v>496.53655835731706</v>
      </c>
      <c r="V201" s="163">
        <f t="shared" si="11"/>
        <v>496.53655835731706</v>
      </c>
      <c r="W201" s="163">
        <f t="shared" si="11"/>
        <v>496.53655835731706</v>
      </c>
      <c r="X201" s="163">
        <f t="shared" si="11"/>
        <v>496.53655835731706</v>
      </c>
      <c r="Y201" s="163">
        <f t="shared" si="11"/>
        <v>496.53655835731706</v>
      </c>
      <c r="Z201" s="163">
        <f t="shared" si="11"/>
        <v>496.53655835731706</v>
      </c>
      <c r="AA201" s="163">
        <f t="shared" si="11"/>
        <v>496.53655835731706</v>
      </c>
      <c r="AB201" s="163">
        <f t="shared" si="11"/>
        <v>496.53655835731706</v>
      </c>
      <c r="AC201" s="163">
        <f t="shared" si="11"/>
        <v>496.53655835731706</v>
      </c>
      <c r="AD201" s="163">
        <f t="shared" si="11"/>
        <v>496.53655835731706</v>
      </c>
      <c r="AE201" s="163">
        <f t="shared" si="11"/>
        <v>496.53655835731706</v>
      </c>
      <c r="AF201" s="163">
        <f t="shared" si="11"/>
        <v>496.53655835731706</v>
      </c>
      <c r="AG201" s="163">
        <f t="shared" si="11"/>
        <v>496.53655835731706</v>
      </c>
      <c r="AH201" s="163">
        <f t="shared" si="11"/>
        <v>496.53655835731706</v>
      </c>
      <c r="AI201" s="163">
        <f t="shared" si="11"/>
        <v>496.53655835731706</v>
      </c>
      <c r="AJ201" s="163">
        <f t="shared" si="11"/>
        <v>496.53655835731706</v>
      </c>
      <c r="AK201" s="163">
        <f t="shared" si="11"/>
        <v>496.53655835731706</v>
      </c>
      <c r="AL201" s="163">
        <f t="shared" si="11"/>
        <v>496.53655835731706</v>
      </c>
      <c r="AM201" s="163">
        <f t="shared" si="11"/>
        <v>496.53655835731706</v>
      </c>
      <c r="AN201" s="163">
        <f t="shared" si="11"/>
        <v>496.53655835731706</v>
      </c>
      <c r="AO201" s="163">
        <f t="shared" si="11"/>
        <v>496.53655835731706</v>
      </c>
      <c r="AP201" s="163">
        <f t="shared" si="11"/>
        <v>496.53655835731706</v>
      </c>
      <c r="AQ201" s="163">
        <f t="shared" si="11"/>
        <v>496.53655835731706</v>
      </c>
      <c r="AR201" s="163">
        <f t="shared" si="11"/>
        <v>496.53655835731706</v>
      </c>
      <c r="AS201" s="163">
        <f t="shared" si="11"/>
        <v>496.53655835731706</v>
      </c>
      <c r="AT201" s="163">
        <f t="shared" si="11"/>
        <v>496.53655835731706</v>
      </c>
      <c r="AU201" s="163">
        <f t="shared" si="11"/>
        <v>496.53655835731706</v>
      </c>
      <c r="AV201" s="163">
        <f t="shared" si="11"/>
        <v>496.53655835731706</v>
      </c>
      <c r="AW201" s="163">
        <f t="shared" si="11"/>
        <v>496.53655835731706</v>
      </c>
      <c r="AX201" s="163">
        <f t="shared" si="11"/>
        <v>496.53655835731706</v>
      </c>
      <c r="AY201" s="163">
        <f t="shared" si="11"/>
        <v>496.53655835731706</v>
      </c>
      <c r="AZ201" s="163">
        <f t="shared" si="11"/>
        <v>496.53655835731706</v>
      </c>
      <c r="BA201" s="163">
        <f t="shared" si="11"/>
        <v>496.53655835731706</v>
      </c>
      <c r="BB201" s="163">
        <f t="shared" si="11"/>
        <v>496.53655835731706</v>
      </c>
      <c r="BC201" s="163">
        <f t="shared" si="11"/>
        <v>496.53655835731706</v>
      </c>
      <c r="BD201" s="163">
        <f t="shared" si="11"/>
        <v>496.53655835731706</v>
      </c>
      <c r="BE201" s="163">
        <f t="shared" si="11"/>
        <v>496.53655835731706</v>
      </c>
      <c r="BF201" s="163">
        <f t="shared" si="11"/>
        <v>496.53655835731706</v>
      </c>
      <c r="BG201" s="163">
        <f t="shared" si="11"/>
        <v>496.53655835731706</v>
      </c>
      <c r="BH201" s="163">
        <f t="shared" si="11"/>
        <v>496.53655835731706</v>
      </c>
      <c r="BI201" s="163">
        <f t="shared" si="11"/>
        <v>496.53655835731706</v>
      </c>
      <c r="BJ201" s="163">
        <f t="shared" si="11"/>
        <v>496.53655835731706</v>
      </c>
    </row>
    <row r="202" spans="2:63" x14ac:dyDescent="0.25">
      <c r="B202" s="84" t="s">
        <v>148</v>
      </c>
      <c r="C202" s="163">
        <f>Planejamento!$AD$8</f>
        <v>1438</v>
      </c>
      <c r="D202" s="163">
        <f>C202</f>
        <v>1438</v>
      </c>
      <c r="E202" s="163">
        <f t="shared" ref="E202:BJ202" si="12">D202</f>
        <v>1438</v>
      </c>
      <c r="F202" s="163">
        <f t="shared" si="12"/>
        <v>1438</v>
      </c>
      <c r="G202" s="163">
        <f t="shared" si="12"/>
        <v>1438</v>
      </c>
      <c r="H202" s="163">
        <f t="shared" si="12"/>
        <v>1438</v>
      </c>
      <c r="I202" s="163">
        <f t="shared" si="12"/>
        <v>1438</v>
      </c>
      <c r="J202" s="163">
        <f t="shared" si="12"/>
        <v>1438</v>
      </c>
      <c r="K202" s="163">
        <f t="shared" si="12"/>
        <v>1438</v>
      </c>
      <c r="L202" s="163">
        <f t="shared" si="12"/>
        <v>1438</v>
      </c>
      <c r="M202" s="163">
        <f t="shared" si="12"/>
        <v>1438</v>
      </c>
      <c r="N202" s="163">
        <f t="shared" si="12"/>
        <v>1438</v>
      </c>
      <c r="O202" s="163">
        <f t="shared" si="12"/>
        <v>1438</v>
      </c>
      <c r="P202" s="163">
        <f t="shared" si="12"/>
        <v>1438</v>
      </c>
      <c r="Q202" s="163">
        <f t="shared" si="12"/>
        <v>1438</v>
      </c>
      <c r="R202" s="163">
        <f t="shared" si="12"/>
        <v>1438</v>
      </c>
      <c r="S202" s="163">
        <f t="shared" si="12"/>
        <v>1438</v>
      </c>
      <c r="T202" s="163">
        <f t="shared" si="12"/>
        <v>1438</v>
      </c>
      <c r="U202" s="163">
        <f t="shared" si="12"/>
        <v>1438</v>
      </c>
      <c r="V202" s="163">
        <f t="shared" si="12"/>
        <v>1438</v>
      </c>
      <c r="W202" s="163">
        <f t="shared" si="12"/>
        <v>1438</v>
      </c>
      <c r="X202" s="163">
        <f t="shared" si="12"/>
        <v>1438</v>
      </c>
      <c r="Y202" s="163">
        <f t="shared" si="12"/>
        <v>1438</v>
      </c>
      <c r="Z202" s="163">
        <f t="shared" si="12"/>
        <v>1438</v>
      </c>
      <c r="AA202" s="163">
        <f t="shared" si="12"/>
        <v>1438</v>
      </c>
      <c r="AB202" s="163">
        <f t="shared" si="12"/>
        <v>1438</v>
      </c>
      <c r="AC202" s="163">
        <f t="shared" si="12"/>
        <v>1438</v>
      </c>
      <c r="AD202" s="163">
        <f t="shared" si="12"/>
        <v>1438</v>
      </c>
      <c r="AE202" s="163">
        <f t="shared" si="12"/>
        <v>1438</v>
      </c>
      <c r="AF202" s="163">
        <f t="shared" si="12"/>
        <v>1438</v>
      </c>
      <c r="AG202" s="163">
        <f t="shared" si="12"/>
        <v>1438</v>
      </c>
      <c r="AH202" s="163">
        <f t="shared" si="12"/>
        <v>1438</v>
      </c>
      <c r="AI202" s="163">
        <f t="shared" si="12"/>
        <v>1438</v>
      </c>
      <c r="AJ202" s="163">
        <f t="shared" si="12"/>
        <v>1438</v>
      </c>
      <c r="AK202" s="163">
        <f t="shared" si="12"/>
        <v>1438</v>
      </c>
      <c r="AL202" s="163">
        <f t="shared" si="12"/>
        <v>1438</v>
      </c>
      <c r="AM202" s="163">
        <f t="shared" si="12"/>
        <v>1438</v>
      </c>
      <c r="AN202" s="163">
        <f t="shared" si="12"/>
        <v>1438</v>
      </c>
      <c r="AO202" s="163">
        <f t="shared" si="12"/>
        <v>1438</v>
      </c>
      <c r="AP202" s="163">
        <f t="shared" si="12"/>
        <v>1438</v>
      </c>
      <c r="AQ202" s="163">
        <f t="shared" si="12"/>
        <v>1438</v>
      </c>
      <c r="AR202" s="163">
        <f t="shared" si="12"/>
        <v>1438</v>
      </c>
      <c r="AS202" s="163">
        <f t="shared" si="12"/>
        <v>1438</v>
      </c>
      <c r="AT202" s="163">
        <f t="shared" si="12"/>
        <v>1438</v>
      </c>
      <c r="AU202" s="163">
        <f t="shared" si="12"/>
        <v>1438</v>
      </c>
      <c r="AV202" s="163">
        <f t="shared" si="12"/>
        <v>1438</v>
      </c>
      <c r="AW202" s="163">
        <f t="shared" si="12"/>
        <v>1438</v>
      </c>
      <c r="AX202" s="163">
        <f t="shared" si="12"/>
        <v>1438</v>
      </c>
      <c r="AY202" s="163">
        <f t="shared" si="12"/>
        <v>1438</v>
      </c>
      <c r="AZ202" s="163">
        <f t="shared" si="12"/>
        <v>1438</v>
      </c>
      <c r="BA202" s="163">
        <f t="shared" si="12"/>
        <v>1438</v>
      </c>
      <c r="BB202" s="163">
        <f t="shared" si="12"/>
        <v>1438</v>
      </c>
      <c r="BC202" s="163">
        <f t="shared" si="12"/>
        <v>1438</v>
      </c>
      <c r="BD202" s="163">
        <f t="shared" si="12"/>
        <v>1438</v>
      </c>
      <c r="BE202" s="163">
        <f t="shared" si="12"/>
        <v>1438</v>
      </c>
      <c r="BF202" s="163">
        <f t="shared" si="12"/>
        <v>1438</v>
      </c>
      <c r="BG202" s="163">
        <f t="shared" si="12"/>
        <v>1438</v>
      </c>
      <c r="BH202" s="163">
        <f t="shared" si="12"/>
        <v>1438</v>
      </c>
      <c r="BI202" s="163">
        <f t="shared" si="12"/>
        <v>1438</v>
      </c>
      <c r="BJ202" s="163">
        <f t="shared" si="12"/>
        <v>1438</v>
      </c>
    </row>
    <row r="203" spans="2:63" x14ac:dyDescent="0.25">
      <c r="B203" s="84" t="s">
        <v>149</v>
      </c>
      <c r="C203" s="163">
        <f>Planejamento!$AH$23</f>
        <v>2379.4634416426829</v>
      </c>
      <c r="D203" s="163">
        <f>C203</f>
        <v>2379.4634416426829</v>
      </c>
      <c r="E203" s="163">
        <f t="shared" ref="E203:BJ203" si="13">D203</f>
        <v>2379.4634416426829</v>
      </c>
      <c r="F203" s="163">
        <f t="shared" si="13"/>
        <v>2379.4634416426829</v>
      </c>
      <c r="G203" s="163">
        <f t="shared" si="13"/>
        <v>2379.4634416426829</v>
      </c>
      <c r="H203" s="163">
        <f t="shared" si="13"/>
        <v>2379.4634416426829</v>
      </c>
      <c r="I203" s="163">
        <f t="shared" si="13"/>
        <v>2379.4634416426829</v>
      </c>
      <c r="J203" s="163">
        <f t="shared" si="13"/>
        <v>2379.4634416426829</v>
      </c>
      <c r="K203" s="163">
        <f t="shared" si="13"/>
        <v>2379.4634416426829</v>
      </c>
      <c r="L203" s="163">
        <f t="shared" si="13"/>
        <v>2379.4634416426829</v>
      </c>
      <c r="M203" s="163">
        <f t="shared" si="13"/>
        <v>2379.4634416426829</v>
      </c>
      <c r="N203" s="163">
        <f t="shared" si="13"/>
        <v>2379.4634416426829</v>
      </c>
      <c r="O203" s="163">
        <f t="shared" si="13"/>
        <v>2379.4634416426829</v>
      </c>
      <c r="P203" s="163">
        <f t="shared" si="13"/>
        <v>2379.4634416426829</v>
      </c>
      <c r="Q203" s="163">
        <f t="shared" si="13"/>
        <v>2379.4634416426829</v>
      </c>
      <c r="R203" s="163">
        <f t="shared" si="13"/>
        <v>2379.4634416426829</v>
      </c>
      <c r="S203" s="163">
        <f t="shared" si="13"/>
        <v>2379.4634416426829</v>
      </c>
      <c r="T203" s="163">
        <f t="shared" si="13"/>
        <v>2379.4634416426829</v>
      </c>
      <c r="U203" s="163">
        <f t="shared" si="13"/>
        <v>2379.4634416426829</v>
      </c>
      <c r="V203" s="163">
        <f t="shared" si="13"/>
        <v>2379.4634416426829</v>
      </c>
      <c r="W203" s="163">
        <f t="shared" si="13"/>
        <v>2379.4634416426829</v>
      </c>
      <c r="X203" s="163">
        <f t="shared" si="13"/>
        <v>2379.4634416426829</v>
      </c>
      <c r="Y203" s="163">
        <f t="shared" si="13"/>
        <v>2379.4634416426829</v>
      </c>
      <c r="Z203" s="163">
        <f t="shared" si="13"/>
        <v>2379.4634416426829</v>
      </c>
      <c r="AA203" s="163">
        <f t="shared" si="13"/>
        <v>2379.4634416426829</v>
      </c>
      <c r="AB203" s="163">
        <f t="shared" si="13"/>
        <v>2379.4634416426829</v>
      </c>
      <c r="AC203" s="163">
        <f t="shared" si="13"/>
        <v>2379.4634416426829</v>
      </c>
      <c r="AD203" s="163">
        <f t="shared" si="13"/>
        <v>2379.4634416426829</v>
      </c>
      <c r="AE203" s="163">
        <f t="shared" si="13"/>
        <v>2379.4634416426829</v>
      </c>
      <c r="AF203" s="163">
        <f t="shared" si="13"/>
        <v>2379.4634416426829</v>
      </c>
      <c r="AG203" s="163">
        <f t="shared" si="13"/>
        <v>2379.4634416426829</v>
      </c>
      <c r="AH203" s="163">
        <f t="shared" si="13"/>
        <v>2379.4634416426829</v>
      </c>
      <c r="AI203" s="163">
        <f t="shared" si="13"/>
        <v>2379.4634416426829</v>
      </c>
      <c r="AJ203" s="163">
        <f t="shared" si="13"/>
        <v>2379.4634416426829</v>
      </c>
      <c r="AK203" s="163">
        <f t="shared" si="13"/>
        <v>2379.4634416426829</v>
      </c>
      <c r="AL203" s="163">
        <f t="shared" si="13"/>
        <v>2379.4634416426829</v>
      </c>
      <c r="AM203" s="163">
        <f t="shared" si="13"/>
        <v>2379.4634416426829</v>
      </c>
      <c r="AN203" s="163">
        <f t="shared" si="13"/>
        <v>2379.4634416426829</v>
      </c>
      <c r="AO203" s="163">
        <f t="shared" si="13"/>
        <v>2379.4634416426829</v>
      </c>
      <c r="AP203" s="163">
        <f t="shared" si="13"/>
        <v>2379.4634416426829</v>
      </c>
      <c r="AQ203" s="163">
        <f t="shared" si="13"/>
        <v>2379.4634416426829</v>
      </c>
      <c r="AR203" s="163">
        <f t="shared" si="13"/>
        <v>2379.4634416426829</v>
      </c>
      <c r="AS203" s="163">
        <f t="shared" si="13"/>
        <v>2379.4634416426829</v>
      </c>
      <c r="AT203" s="163">
        <f t="shared" si="13"/>
        <v>2379.4634416426829</v>
      </c>
      <c r="AU203" s="163">
        <f t="shared" si="13"/>
        <v>2379.4634416426829</v>
      </c>
      <c r="AV203" s="163">
        <f t="shared" si="13"/>
        <v>2379.4634416426829</v>
      </c>
      <c r="AW203" s="163">
        <f t="shared" si="13"/>
        <v>2379.4634416426829</v>
      </c>
      <c r="AX203" s="163">
        <f t="shared" si="13"/>
        <v>2379.4634416426829</v>
      </c>
      <c r="AY203" s="163">
        <f t="shared" si="13"/>
        <v>2379.4634416426829</v>
      </c>
      <c r="AZ203" s="163">
        <f t="shared" si="13"/>
        <v>2379.4634416426829</v>
      </c>
      <c r="BA203" s="163">
        <f t="shared" si="13"/>
        <v>2379.4634416426829</v>
      </c>
      <c r="BB203" s="163">
        <f t="shared" si="13"/>
        <v>2379.4634416426829</v>
      </c>
      <c r="BC203" s="163">
        <f t="shared" si="13"/>
        <v>2379.4634416426829</v>
      </c>
      <c r="BD203" s="163">
        <f t="shared" si="13"/>
        <v>2379.4634416426829</v>
      </c>
      <c r="BE203" s="163">
        <f t="shared" si="13"/>
        <v>2379.4634416426829</v>
      </c>
      <c r="BF203" s="163">
        <f t="shared" si="13"/>
        <v>2379.4634416426829</v>
      </c>
      <c r="BG203" s="163">
        <f t="shared" si="13"/>
        <v>2379.4634416426829</v>
      </c>
      <c r="BH203" s="163">
        <f t="shared" si="13"/>
        <v>2379.4634416426829</v>
      </c>
      <c r="BI203" s="163">
        <f t="shared" si="13"/>
        <v>2379.4634416426829</v>
      </c>
      <c r="BJ203" s="163">
        <f t="shared" si="13"/>
        <v>2379.4634416426829</v>
      </c>
    </row>
    <row r="206" spans="2:63" x14ac:dyDescent="0.25">
      <c r="B206" s="122" t="s">
        <v>154</v>
      </c>
      <c r="C206" s="163" t="str">
        <f>IF(C200&gt;C203,C200,"-")</f>
        <v>-</v>
      </c>
      <c r="D206" s="163" t="str">
        <f t="shared" ref="D206:BJ206" si="14">IF(D200&gt;D203,D200,"-")</f>
        <v>-</v>
      </c>
      <c r="E206" s="163" t="str">
        <f t="shared" si="14"/>
        <v>-</v>
      </c>
      <c r="F206" s="163" t="str">
        <f t="shared" si="14"/>
        <v>-</v>
      </c>
      <c r="G206" s="163" t="str">
        <f t="shared" si="14"/>
        <v>-</v>
      </c>
      <c r="H206" s="163" t="str">
        <f t="shared" si="14"/>
        <v>-</v>
      </c>
      <c r="I206" s="163" t="str">
        <f t="shared" si="14"/>
        <v>-</v>
      </c>
      <c r="J206" s="163" t="str">
        <f t="shared" si="14"/>
        <v>-</v>
      </c>
      <c r="K206" s="163" t="str">
        <f t="shared" si="14"/>
        <v>-</v>
      </c>
      <c r="L206" s="163" t="str">
        <f t="shared" si="14"/>
        <v>-</v>
      </c>
      <c r="M206" s="163" t="str">
        <f t="shared" si="14"/>
        <v>-</v>
      </c>
      <c r="N206" s="163">
        <f t="shared" si="14"/>
        <v>2825</v>
      </c>
      <c r="O206" s="163" t="str">
        <f t="shared" si="14"/>
        <v>-</v>
      </c>
      <c r="P206" s="163">
        <f t="shared" si="14"/>
        <v>2597</v>
      </c>
      <c r="Q206" s="163" t="str">
        <f t="shared" si="14"/>
        <v>-</v>
      </c>
      <c r="R206" s="163" t="str">
        <f t="shared" si="14"/>
        <v>-</v>
      </c>
      <c r="S206" s="163" t="str">
        <f t="shared" si="14"/>
        <v>-</v>
      </c>
      <c r="T206" s="163" t="str">
        <f t="shared" si="14"/>
        <v>-</v>
      </c>
      <c r="U206" s="163" t="str">
        <f t="shared" si="14"/>
        <v>-</v>
      </c>
      <c r="V206" s="163" t="str">
        <f t="shared" si="14"/>
        <v>-</v>
      </c>
      <c r="W206" s="163" t="str">
        <f t="shared" si="14"/>
        <v>-</v>
      </c>
      <c r="X206" s="163" t="str">
        <f t="shared" si="14"/>
        <v>-</v>
      </c>
      <c r="Y206" s="163" t="str">
        <f t="shared" si="14"/>
        <v>-</v>
      </c>
      <c r="Z206" s="163" t="str">
        <f t="shared" si="14"/>
        <v>-</v>
      </c>
      <c r="AA206" s="163">
        <f t="shared" si="14"/>
        <v>2922</v>
      </c>
      <c r="AB206" s="163" t="str">
        <f t="shared" si="14"/>
        <v>-</v>
      </c>
      <c r="AC206" s="163" t="str">
        <f t="shared" si="14"/>
        <v>-</v>
      </c>
      <c r="AD206" s="163" t="str">
        <f t="shared" si="14"/>
        <v>-</v>
      </c>
      <c r="AE206" s="163" t="str">
        <f t="shared" si="14"/>
        <v>-</v>
      </c>
      <c r="AF206" s="163" t="str">
        <f t="shared" si="14"/>
        <v>-</v>
      </c>
      <c r="AG206" s="163" t="str">
        <f t="shared" si="14"/>
        <v>-</v>
      </c>
      <c r="AH206" s="163" t="str">
        <f t="shared" si="14"/>
        <v>-</v>
      </c>
      <c r="AI206" s="163">
        <f t="shared" si="14"/>
        <v>2998</v>
      </c>
      <c r="AJ206" s="163" t="str">
        <f t="shared" si="14"/>
        <v>-</v>
      </c>
      <c r="AK206" s="163" t="str">
        <f t="shared" si="14"/>
        <v>-</v>
      </c>
      <c r="AL206" s="163" t="str">
        <f t="shared" si="14"/>
        <v>-</v>
      </c>
      <c r="AM206" s="163">
        <f t="shared" si="14"/>
        <v>3180</v>
      </c>
      <c r="AN206" s="163" t="str">
        <f t="shared" si="14"/>
        <v>-</v>
      </c>
      <c r="AO206" s="163" t="str">
        <f t="shared" si="14"/>
        <v>-</v>
      </c>
      <c r="AP206" s="163" t="str">
        <f t="shared" si="14"/>
        <v>-</v>
      </c>
      <c r="AQ206" s="163" t="str">
        <f t="shared" si="14"/>
        <v>-</v>
      </c>
      <c r="AR206" s="163">
        <f t="shared" si="14"/>
        <v>3046</v>
      </c>
      <c r="AS206" s="163">
        <f t="shared" si="14"/>
        <v>2922</v>
      </c>
      <c r="AT206" s="163" t="str">
        <f t="shared" si="14"/>
        <v>-</v>
      </c>
      <c r="AU206" s="163" t="str">
        <f t="shared" si="14"/>
        <v>-</v>
      </c>
      <c r="AV206" s="163" t="str">
        <f t="shared" si="14"/>
        <v>-</v>
      </c>
      <c r="AW206" s="163" t="str">
        <f t="shared" si="14"/>
        <v>-</v>
      </c>
      <c r="AX206" s="163">
        <f t="shared" si="14"/>
        <v>2408</v>
      </c>
      <c r="AY206" s="163" t="str">
        <f t="shared" si="14"/>
        <v>-</v>
      </c>
      <c r="AZ206" s="163" t="str">
        <f t="shared" si="14"/>
        <v>-</v>
      </c>
      <c r="BA206" s="163" t="str">
        <f t="shared" si="14"/>
        <v>-</v>
      </c>
      <c r="BB206" s="163" t="str">
        <f t="shared" si="14"/>
        <v>-</v>
      </c>
      <c r="BC206" s="163" t="str">
        <f t="shared" si="14"/>
        <v>-</v>
      </c>
      <c r="BD206" s="163" t="str">
        <f t="shared" si="14"/>
        <v>-</v>
      </c>
      <c r="BE206" s="163" t="str">
        <f t="shared" si="14"/>
        <v>-</v>
      </c>
      <c r="BF206" s="163" t="str">
        <f t="shared" si="14"/>
        <v>-</v>
      </c>
      <c r="BG206" s="163" t="str">
        <f t="shared" si="14"/>
        <v>-</v>
      </c>
      <c r="BH206" s="163" t="str">
        <f t="shared" si="14"/>
        <v>-</v>
      </c>
      <c r="BI206" s="163" t="str">
        <f t="shared" si="14"/>
        <v>-</v>
      </c>
      <c r="BJ206" s="163" t="str">
        <f t="shared" si="14"/>
        <v>-</v>
      </c>
      <c r="BK206" s="122">
        <f>COUNT(C206:BJ206)</f>
        <v>8</v>
      </c>
    </row>
    <row r="207" spans="2:63" x14ac:dyDescent="0.25">
      <c r="B207" s="122" t="s">
        <v>155</v>
      </c>
      <c r="C207" s="122"/>
      <c r="D207" s="122"/>
      <c r="E207" s="122"/>
      <c r="F207" s="122"/>
      <c r="G207" s="122"/>
      <c r="H207" s="122"/>
      <c r="I207" s="122"/>
      <c r="J207" s="122"/>
      <c r="K207" s="122"/>
      <c r="L207" s="122" t="str">
        <f t="shared" ref="L207" si="15">IF(L200&lt;L201,L200,"")</f>
        <v/>
      </c>
      <c r="M207" s="122">
        <f>IF(M200&lt;M201,M200,"-")</f>
        <v>488</v>
      </c>
      <c r="N207" s="122" t="str">
        <f t="shared" ref="N207:BJ207" si="16">IF(N200&lt;N201,N200,"-")</f>
        <v>-</v>
      </c>
      <c r="O207" s="122">
        <f t="shared" si="16"/>
        <v>444</v>
      </c>
      <c r="P207" s="122" t="str">
        <f t="shared" si="16"/>
        <v>-</v>
      </c>
      <c r="Q207" s="122" t="str">
        <f t="shared" si="16"/>
        <v>-</v>
      </c>
      <c r="R207" s="122" t="str">
        <f t="shared" si="16"/>
        <v>-</v>
      </c>
      <c r="S207" s="122">
        <f t="shared" si="16"/>
        <v>220</v>
      </c>
      <c r="T207" s="122">
        <f t="shared" si="16"/>
        <v>288</v>
      </c>
      <c r="U207" s="122">
        <f t="shared" si="16"/>
        <v>476</v>
      </c>
      <c r="V207" s="122" t="str">
        <f t="shared" si="16"/>
        <v>-</v>
      </c>
      <c r="W207" s="122">
        <f t="shared" si="16"/>
        <v>476</v>
      </c>
      <c r="X207" s="122" t="str">
        <f t="shared" si="16"/>
        <v>-</v>
      </c>
      <c r="Y207" s="122" t="str">
        <f t="shared" si="16"/>
        <v>-</v>
      </c>
      <c r="Z207" s="122" t="str">
        <f t="shared" si="16"/>
        <v>-</v>
      </c>
      <c r="AA207" s="122" t="str">
        <f t="shared" si="16"/>
        <v>-</v>
      </c>
      <c r="AB207" s="122">
        <f t="shared" si="16"/>
        <v>253</v>
      </c>
      <c r="AC207" s="122" t="str">
        <f t="shared" si="16"/>
        <v>-</v>
      </c>
      <c r="AD207" s="122">
        <f t="shared" si="16"/>
        <v>170</v>
      </c>
      <c r="AE207" s="122">
        <f t="shared" si="16"/>
        <v>220</v>
      </c>
      <c r="AF207" s="122" t="str">
        <f t="shared" si="16"/>
        <v>-</v>
      </c>
      <c r="AG207" s="122" t="str">
        <f t="shared" si="16"/>
        <v>-</v>
      </c>
      <c r="AH207" s="122" t="str">
        <f t="shared" si="16"/>
        <v>-</v>
      </c>
      <c r="AI207" s="122" t="str">
        <f t="shared" si="16"/>
        <v>-</v>
      </c>
      <c r="AJ207" s="122" t="str">
        <f t="shared" si="16"/>
        <v>-</v>
      </c>
      <c r="AK207" s="122" t="str">
        <f t="shared" si="16"/>
        <v>-</v>
      </c>
      <c r="AL207" s="122" t="str">
        <f t="shared" si="16"/>
        <v>-</v>
      </c>
      <c r="AM207" s="122" t="str">
        <f t="shared" si="16"/>
        <v>-</v>
      </c>
      <c r="AN207" s="122" t="str">
        <f t="shared" si="16"/>
        <v>-</v>
      </c>
      <c r="AO207" s="122">
        <f t="shared" si="16"/>
        <v>391</v>
      </c>
      <c r="AP207" s="122" t="str">
        <f t="shared" si="16"/>
        <v>-</v>
      </c>
      <c r="AQ207" s="122" t="str">
        <f t="shared" si="16"/>
        <v>-</v>
      </c>
      <c r="AR207" s="122" t="str">
        <f t="shared" si="16"/>
        <v>-</v>
      </c>
      <c r="AS207" s="122" t="str">
        <f t="shared" si="16"/>
        <v>-</v>
      </c>
      <c r="AT207" s="122" t="str">
        <f t="shared" si="16"/>
        <v>-</v>
      </c>
      <c r="AU207" s="122" t="str">
        <f t="shared" si="16"/>
        <v>-</v>
      </c>
      <c r="AV207" s="122">
        <f t="shared" si="16"/>
        <v>276</v>
      </c>
      <c r="AW207" s="122" t="str">
        <f t="shared" si="16"/>
        <v>-</v>
      </c>
      <c r="AX207" s="122" t="str">
        <f t="shared" si="16"/>
        <v>-</v>
      </c>
      <c r="AY207" s="122">
        <f t="shared" si="16"/>
        <v>476</v>
      </c>
      <c r="AZ207" s="122" t="str">
        <f t="shared" si="16"/>
        <v>-</v>
      </c>
      <c r="BA207" s="122" t="str">
        <f t="shared" si="16"/>
        <v>-</v>
      </c>
      <c r="BB207" s="122" t="str">
        <f t="shared" si="16"/>
        <v>-</v>
      </c>
      <c r="BC207" s="122" t="str">
        <f t="shared" si="16"/>
        <v>-</v>
      </c>
      <c r="BD207" s="122">
        <f t="shared" si="16"/>
        <v>459</v>
      </c>
      <c r="BE207" s="122" t="str">
        <f t="shared" si="16"/>
        <v>-</v>
      </c>
      <c r="BF207" s="122">
        <f t="shared" si="16"/>
        <v>220</v>
      </c>
      <c r="BG207" s="122" t="str">
        <f t="shared" si="16"/>
        <v>-</v>
      </c>
      <c r="BH207" s="122" t="str">
        <f t="shared" si="16"/>
        <v>-</v>
      </c>
      <c r="BI207" s="122" t="str">
        <f t="shared" si="16"/>
        <v>-</v>
      </c>
      <c r="BJ207" s="122">
        <f t="shared" si="16"/>
        <v>253</v>
      </c>
      <c r="BK207" s="122">
        <f>COUNT(C207:BJ207)</f>
        <v>15</v>
      </c>
    </row>
  </sheetData>
  <sheetProtection algorithmName="SHA-512" hashValue="17eJqmfC9/49nQkI6WbzCBDee3mKL8q7ddNjShfL6Ja6p095XPGiwYEM6a3Nv4k2bFG/5ArvRADjRL1qzXnM9w==" saltValue="h3w5JYQZhudlw8RtX5SxVA==" spinCount="100000" sheet="1" objects="1" scenarios="1"/>
  <mergeCells count="9">
    <mergeCell ref="B10:B11"/>
    <mergeCell ref="B12:E12"/>
    <mergeCell ref="B3:D3"/>
    <mergeCell ref="B4:D4"/>
    <mergeCell ref="B5:D5"/>
    <mergeCell ref="B6:D6"/>
    <mergeCell ref="B7:D7"/>
    <mergeCell ref="B8:D8"/>
    <mergeCell ref="B9:D9"/>
  </mergeCells>
  <conditionalFormatting sqref="C27">
    <cfRule type="cellIs" dxfId="23" priority="23" operator="greaterThan">
      <formula>0</formula>
    </cfRule>
    <cfRule type="cellIs" dxfId="22" priority="24" operator="lessThanOrEqual">
      <formula>0</formula>
    </cfRule>
  </conditionalFormatting>
  <conditionalFormatting sqref="C28">
    <cfRule type="cellIs" dxfId="21" priority="20" operator="greaterThan">
      <formula>15%</formula>
    </cfRule>
    <cfRule type="cellIs" dxfId="20" priority="21" operator="between">
      <formula>0.001</formula>
      <formula>0.15</formula>
    </cfRule>
    <cfRule type="cellIs" dxfId="19" priority="22" operator="equal">
      <formula>0</formula>
    </cfRule>
  </conditionalFormatting>
  <conditionalFormatting sqref="C29">
    <cfRule type="cellIs" dxfId="18" priority="17" operator="lessThan">
      <formula>0.8</formula>
    </cfRule>
    <cfRule type="cellIs" dxfId="17" priority="18" operator="between">
      <formula>0.801</formula>
      <formula>0.8999</formula>
    </cfRule>
    <cfRule type="cellIs" dxfId="16" priority="19" operator="greaterThanOrEqual">
      <formula>0.9</formula>
    </cfRule>
  </conditionalFormatting>
  <conditionalFormatting sqref="C30">
    <cfRule type="cellIs" dxfId="15" priority="13" operator="lessThanOrEqual">
      <formula>0</formula>
    </cfRule>
    <cfRule type="cellIs" dxfId="14" priority="14" operator="between">
      <formula>0</formula>
      <formula>5</formula>
    </cfRule>
    <cfRule type="cellIs" dxfId="13" priority="15" operator="between">
      <formula>5</formula>
      <formula>8</formula>
    </cfRule>
    <cfRule type="cellIs" dxfId="12" priority="16" operator="greaterThanOrEqual">
      <formula>8</formula>
    </cfRule>
  </conditionalFormatting>
  <conditionalFormatting sqref="D27">
    <cfRule type="cellIs" dxfId="11" priority="11" operator="greaterThan">
      <formula>0</formula>
    </cfRule>
    <cfRule type="cellIs" dxfId="10" priority="12" operator="lessThanOrEqual">
      <formula>0</formula>
    </cfRule>
  </conditionalFormatting>
  <conditionalFormatting sqref="D28">
    <cfRule type="cellIs" dxfId="9" priority="8" operator="greaterThan">
      <formula>0.15</formula>
    </cfRule>
    <cfRule type="cellIs" dxfId="8" priority="9" operator="between">
      <formula>"&gt;0,01"</formula>
      <formula>"&lt;=0,15"</formula>
    </cfRule>
    <cfRule type="cellIs" dxfId="7" priority="10" operator="equal">
      <formula>0</formula>
    </cfRule>
  </conditionalFormatting>
  <conditionalFormatting sqref="D29">
    <cfRule type="cellIs" dxfId="6" priority="5" operator="lessThan">
      <formula>0.8</formula>
    </cfRule>
    <cfRule type="cellIs" dxfId="5" priority="6" operator="between">
      <formula>"&gt;=0,8"</formula>
      <formula>"&lt;=0,9"</formula>
    </cfRule>
    <cfRule type="cellIs" dxfId="4" priority="7" operator="greaterThanOrEqual">
      <formula>0.9</formula>
    </cfRule>
  </conditionalFormatting>
  <conditionalFormatting sqref="D30">
    <cfRule type="cellIs" dxfId="3" priority="1" operator="lessThanOrEqual">
      <formula>0</formula>
    </cfRule>
    <cfRule type="cellIs" dxfId="2" priority="2" operator="between">
      <formula>0</formula>
      <formula>5</formula>
    </cfRule>
    <cfRule type="cellIs" dxfId="1" priority="3" operator="between">
      <formula>5</formula>
      <formula>8</formula>
    </cfRule>
    <cfRule type="cellIs" dxfId="0" priority="4" operator="greaterThanOrEqual">
      <formula>8</formula>
    </cfRule>
  </conditionalFormatting>
  <dataValidations count="2">
    <dataValidation type="decimal" allowBlank="1" showInputMessage="1" showErrorMessage="1" errorTitle="Valor inválido" error="Para utilizar o gráfico de velocímetro adequadamente, você deve fornecer um valor entre zero e o máximo da última categoria." sqref="C102" xr:uid="{92067026-A2AA-405A-B425-1860BE5421B1}">
      <formula1>0</formula1>
      <formula2>$C$6</formula2>
    </dataValidation>
    <dataValidation operator="greaterThan" allowBlank="1" showInputMessage="1" showErrorMessage="1" sqref="C101" xr:uid="{F03AF2E5-9A26-4473-A1EF-EF4B5378678D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9" tint="0.39997558519241921"/>
  </sheetPr>
  <dimension ref="B2:P72"/>
  <sheetViews>
    <sheetView showGridLines="0" topLeftCell="A42" zoomScale="80" zoomScaleNormal="80" zoomScalePageLayoutView="80" workbookViewId="0">
      <selection activeCell="M72" sqref="H70:M72"/>
    </sheetView>
  </sheetViews>
  <sheetFormatPr defaultColWidth="10.875" defaultRowHeight="12.75" x14ac:dyDescent="0.2"/>
  <cols>
    <col min="1" max="2" width="10.875" style="38"/>
    <col min="3" max="3" width="2.375" style="38" customWidth="1"/>
    <col min="4" max="4" width="10.875" style="38"/>
    <col min="5" max="5" width="13.75" style="39" customWidth="1"/>
    <col min="6" max="6" width="7.75" style="39" bestFit="1" customWidth="1"/>
    <col min="7" max="7" width="12" style="39" customWidth="1"/>
    <col min="8" max="14" width="10.875" style="38"/>
    <col min="15" max="16" width="11" style="40" customWidth="1"/>
    <col min="17" max="16384" width="10.875" style="38"/>
  </cols>
  <sheetData>
    <row r="2" spans="2:16" ht="16.5" thickBot="1" x14ac:dyDescent="0.3">
      <c r="H2" s="347" t="s">
        <v>89</v>
      </c>
      <c r="I2" s="347"/>
      <c r="J2" s="347"/>
      <c r="K2" s="347"/>
      <c r="L2" s="347"/>
      <c r="M2" s="347"/>
    </row>
    <row r="3" spans="2:16" ht="13.5" thickTop="1" x14ac:dyDescent="0.2"/>
    <row r="4" spans="2:16" x14ac:dyDescent="0.2">
      <c r="B4" s="39" t="s">
        <v>88</v>
      </c>
      <c r="D4" s="70"/>
      <c r="E4" s="195" t="s">
        <v>90</v>
      </c>
      <c r="F4" s="195" t="s">
        <v>175</v>
      </c>
      <c r="G4" s="72"/>
      <c r="H4" s="83">
        <v>1</v>
      </c>
      <c r="I4" s="71">
        <v>2</v>
      </c>
      <c r="J4" s="71">
        <v>3</v>
      </c>
      <c r="K4" s="71">
        <v>4</v>
      </c>
      <c r="L4" s="71">
        <v>5</v>
      </c>
      <c r="M4" s="72">
        <v>6</v>
      </c>
    </row>
    <row r="5" spans="2:16" x14ac:dyDescent="0.2">
      <c r="B5" s="65">
        <f ca="1">RANDBETWEEN(1,6)</f>
        <v>5</v>
      </c>
      <c r="D5" s="41">
        <v>5</v>
      </c>
      <c r="E5" s="58">
        <f ca="1">HLOOKUP(B5,H4:N7,2,0)</f>
        <v>600020</v>
      </c>
      <c r="F5" s="58"/>
      <c r="G5" s="56">
        <f ca="1">B5</f>
        <v>5</v>
      </c>
      <c r="H5" s="59">
        <v>600010</v>
      </c>
      <c r="I5" s="60">
        <v>600020</v>
      </c>
      <c r="J5" s="60">
        <v>600020</v>
      </c>
      <c r="K5" s="60">
        <v>600020</v>
      </c>
      <c r="L5" s="60">
        <v>600020</v>
      </c>
      <c r="M5" s="61">
        <v>600020</v>
      </c>
    </row>
    <row r="6" spans="2:16" x14ac:dyDescent="0.2">
      <c r="D6" s="44"/>
      <c r="E6" s="39" t="str">
        <f ca="1">HLOOKUP(B5,H4:N7,3,0)</f>
        <v>UN</v>
      </c>
      <c r="G6" s="57"/>
      <c r="H6" s="59" t="s">
        <v>55</v>
      </c>
      <c r="I6" s="39" t="s">
        <v>56</v>
      </c>
      <c r="J6" s="39" t="s">
        <v>57</v>
      </c>
      <c r="K6" s="39" t="s">
        <v>58</v>
      </c>
      <c r="L6" s="39" t="s">
        <v>55</v>
      </c>
      <c r="M6" s="57" t="s">
        <v>55</v>
      </c>
    </row>
    <row r="7" spans="2:16" x14ac:dyDescent="0.2">
      <c r="D7" s="66" t="s">
        <v>87</v>
      </c>
      <c r="E7" s="67" t="str">
        <f ca="1">HLOOKUP(B5,H4:N7,4,0)</f>
        <v>PRODUTO 5</v>
      </c>
      <c r="F7" s="68" t="s">
        <v>86</v>
      </c>
      <c r="G7" s="69" t="s">
        <v>87</v>
      </c>
      <c r="H7" s="62" t="s">
        <v>68</v>
      </c>
      <c r="I7" s="63" t="s">
        <v>69</v>
      </c>
      <c r="J7" s="63" t="s">
        <v>70</v>
      </c>
      <c r="K7" s="63" t="s">
        <v>71</v>
      </c>
      <c r="L7" s="63" t="s">
        <v>72</v>
      </c>
      <c r="M7" s="64" t="s">
        <v>73</v>
      </c>
      <c r="O7" s="53" t="s">
        <v>86</v>
      </c>
      <c r="P7" s="54" t="s">
        <v>87</v>
      </c>
    </row>
    <row r="8" spans="2:16" x14ac:dyDescent="0.2">
      <c r="D8" s="73">
        <v>55</v>
      </c>
      <c r="E8" s="74">
        <f>VLOOKUP(D8,$F$8:M69,$D$5+2,0)</f>
        <v>2293</v>
      </c>
      <c r="F8" s="75">
        <v>1</v>
      </c>
      <c r="G8" s="76">
        <f t="shared" ref="G8:G39" ca="1" si="0">VLOOKUP(F8,O:P,2,0)</f>
        <v>58</v>
      </c>
      <c r="H8" s="47">
        <v>1</v>
      </c>
      <c r="I8" s="48">
        <v>13</v>
      </c>
      <c r="J8" s="48">
        <v>1</v>
      </c>
      <c r="K8" s="48">
        <v>1</v>
      </c>
      <c r="L8" s="48">
        <v>476</v>
      </c>
      <c r="M8" s="49">
        <v>42</v>
      </c>
      <c r="O8" s="55">
        <v>1</v>
      </c>
      <c r="P8" s="42">
        <f ca="1">RANDBETWEEN(1,62)</f>
        <v>58</v>
      </c>
    </row>
    <row r="9" spans="2:16" x14ac:dyDescent="0.2">
      <c r="D9" s="47">
        <v>30</v>
      </c>
      <c r="E9" s="77">
        <f>VLOOKUP(D9,$F$8:M70,$D$5+2,0)</f>
        <v>2038</v>
      </c>
      <c r="F9" s="78">
        <v>2</v>
      </c>
      <c r="G9" s="79">
        <f t="shared" ca="1" si="0"/>
        <v>29</v>
      </c>
      <c r="H9" s="47">
        <v>2</v>
      </c>
      <c r="I9" s="48">
        <v>6</v>
      </c>
      <c r="J9" s="48">
        <v>1</v>
      </c>
      <c r="K9" s="48">
        <v>71</v>
      </c>
      <c r="L9" s="48">
        <v>2585</v>
      </c>
      <c r="M9" s="49">
        <v>778</v>
      </c>
      <c r="O9" s="44">
        <v>2</v>
      </c>
      <c r="P9" s="43">
        <f t="shared" ref="P9:P69" ca="1" si="1">RANDBETWEEN(1,62)</f>
        <v>29</v>
      </c>
    </row>
    <row r="10" spans="2:16" x14ac:dyDescent="0.2">
      <c r="D10" s="47">
        <v>8</v>
      </c>
      <c r="E10" s="77">
        <f>VLOOKUP(D10,$F$8:M71,$D$5+2,0)</f>
        <v>488</v>
      </c>
      <c r="F10" s="78">
        <v>3</v>
      </c>
      <c r="G10" s="79">
        <f t="shared" ca="1" si="0"/>
        <v>50</v>
      </c>
      <c r="H10" s="47">
        <v>1</v>
      </c>
      <c r="I10" s="48">
        <v>6</v>
      </c>
      <c r="J10" s="48">
        <v>12</v>
      </c>
      <c r="K10" s="48">
        <v>55</v>
      </c>
      <c r="L10" s="48">
        <v>2476</v>
      </c>
      <c r="M10" s="49">
        <v>318</v>
      </c>
      <c r="O10" s="44">
        <v>3</v>
      </c>
      <c r="P10" s="43">
        <f t="shared" ca="1" si="1"/>
        <v>50</v>
      </c>
    </row>
    <row r="11" spans="2:16" x14ac:dyDescent="0.2">
      <c r="D11" s="47">
        <v>29</v>
      </c>
      <c r="E11" s="77">
        <f>VLOOKUP(D11,$F$8:M72,$D$5+2,0)</f>
        <v>572</v>
      </c>
      <c r="F11" s="78">
        <v>4</v>
      </c>
      <c r="G11" s="79">
        <f t="shared" ca="1" si="0"/>
        <v>12</v>
      </c>
      <c r="H11" s="47">
        <v>7</v>
      </c>
      <c r="I11" s="48">
        <v>4</v>
      </c>
      <c r="J11" s="48">
        <v>3</v>
      </c>
      <c r="K11" s="48">
        <v>32</v>
      </c>
      <c r="L11" s="48">
        <v>2922</v>
      </c>
      <c r="M11" s="49">
        <v>383</v>
      </c>
      <c r="O11" s="44">
        <v>4</v>
      </c>
      <c r="P11" s="43">
        <f t="shared" ca="1" si="1"/>
        <v>12</v>
      </c>
    </row>
    <row r="12" spans="2:16" x14ac:dyDescent="0.2">
      <c r="D12" s="47">
        <v>8</v>
      </c>
      <c r="E12" s="77">
        <f>VLOOKUP(D12,$F$8:M73,$D$5+2,0)</f>
        <v>488</v>
      </c>
      <c r="F12" s="78">
        <v>5</v>
      </c>
      <c r="G12" s="79">
        <f t="shared" ca="1" si="0"/>
        <v>20</v>
      </c>
      <c r="H12" s="47">
        <v>10</v>
      </c>
      <c r="I12" s="48">
        <v>0</v>
      </c>
      <c r="J12" s="48">
        <v>6</v>
      </c>
      <c r="K12" s="48">
        <v>45</v>
      </c>
      <c r="L12" s="48">
        <v>2432</v>
      </c>
      <c r="M12" s="49">
        <v>475</v>
      </c>
      <c r="O12" s="44">
        <v>5</v>
      </c>
      <c r="P12" s="43">
        <f t="shared" ca="1" si="1"/>
        <v>20</v>
      </c>
    </row>
    <row r="13" spans="2:16" x14ac:dyDescent="0.2">
      <c r="D13" s="47">
        <v>60</v>
      </c>
      <c r="E13" s="77">
        <f>VLOOKUP(D13,$F$8:M74,$D$5+2,0)</f>
        <v>2825</v>
      </c>
      <c r="F13" s="78">
        <v>6</v>
      </c>
      <c r="G13" s="79">
        <f t="shared" ca="1" si="0"/>
        <v>7</v>
      </c>
      <c r="H13" s="47">
        <v>1</v>
      </c>
      <c r="I13" s="48">
        <v>0</v>
      </c>
      <c r="J13" s="48">
        <v>33</v>
      </c>
      <c r="K13" s="48">
        <v>43</v>
      </c>
      <c r="L13" s="48">
        <v>2821</v>
      </c>
      <c r="M13" s="49">
        <v>1076</v>
      </c>
      <c r="O13" s="44">
        <v>6</v>
      </c>
      <c r="P13" s="43">
        <f t="shared" ca="1" si="1"/>
        <v>7</v>
      </c>
    </row>
    <row r="14" spans="2:16" x14ac:dyDescent="0.2">
      <c r="D14" s="47">
        <v>49</v>
      </c>
      <c r="E14" s="77">
        <f>VLOOKUP(D14,$F$8:M75,$D$5+2,0)</f>
        <v>444</v>
      </c>
      <c r="F14" s="78">
        <v>7</v>
      </c>
      <c r="G14" s="79">
        <f t="shared" ca="1" si="0"/>
        <v>44</v>
      </c>
      <c r="H14" s="47">
        <v>2</v>
      </c>
      <c r="I14" s="48">
        <v>0</v>
      </c>
      <c r="J14" s="48">
        <v>1</v>
      </c>
      <c r="K14" s="48">
        <v>15</v>
      </c>
      <c r="L14" s="48">
        <v>1494</v>
      </c>
      <c r="M14" s="49">
        <v>98</v>
      </c>
      <c r="O14" s="44">
        <v>7</v>
      </c>
      <c r="P14" s="43">
        <f t="shared" ca="1" si="1"/>
        <v>44</v>
      </c>
    </row>
    <row r="15" spans="2:16" x14ac:dyDescent="0.2">
      <c r="D15" s="47">
        <v>37</v>
      </c>
      <c r="E15" s="77">
        <f>VLOOKUP(D15,$F$8:M76,$D$5+2,0)</f>
        <v>2597</v>
      </c>
      <c r="F15" s="78">
        <v>8</v>
      </c>
      <c r="G15" s="79">
        <f t="shared" ca="1" si="0"/>
        <v>40</v>
      </c>
      <c r="H15" s="47">
        <v>0</v>
      </c>
      <c r="I15" s="48">
        <v>0</v>
      </c>
      <c r="J15" s="48">
        <v>2</v>
      </c>
      <c r="K15" s="48">
        <v>20</v>
      </c>
      <c r="L15" s="48">
        <v>488</v>
      </c>
      <c r="M15" s="49">
        <v>40</v>
      </c>
      <c r="O15" s="44">
        <v>8</v>
      </c>
      <c r="P15" s="43">
        <f t="shared" ca="1" si="1"/>
        <v>40</v>
      </c>
    </row>
    <row r="16" spans="2:16" x14ac:dyDescent="0.2">
      <c r="D16" s="47">
        <v>24</v>
      </c>
      <c r="E16" s="77">
        <f>VLOOKUP(D16,$F$8:M77,$D$5+2,0)</f>
        <v>888</v>
      </c>
      <c r="F16" s="78">
        <v>9</v>
      </c>
      <c r="G16" s="79">
        <f t="shared" ca="1" si="0"/>
        <v>49</v>
      </c>
      <c r="H16" s="47">
        <v>21</v>
      </c>
      <c r="I16" s="48">
        <v>0</v>
      </c>
      <c r="J16" s="48">
        <v>1</v>
      </c>
      <c r="K16" s="48">
        <v>26</v>
      </c>
      <c r="L16" s="48">
        <v>1814</v>
      </c>
      <c r="M16" s="49">
        <v>551</v>
      </c>
      <c r="O16" s="44">
        <v>9</v>
      </c>
      <c r="P16" s="43">
        <f t="shared" ca="1" si="1"/>
        <v>49</v>
      </c>
    </row>
    <row r="17" spans="4:16" x14ac:dyDescent="0.2">
      <c r="D17" s="47">
        <v>52</v>
      </c>
      <c r="E17" s="77">
        <f>VLOOKUP(D17,$F$8:M78,$D$5+2,0)</f>
        <v>1454</v>
      </c>
      <c r="F17" s="78">
        <v>10</v>
      </c>
      <c r="G17" s="79">
        <f t="shared" ca="1" si="0"/>
        <v>48</v>
      </c>
      <c r="H17" s="47">
        <v>3</v>
      </c>
      <c r="I17" s="48">
        <v>0</v>
      </c>
      <c r="J17" s="48">
        <v>1</v>
      </c>
      <c r="K17" s="48">
        <v>10</v>
      </c>
      <c r="L17" s="48">
        <v>2723</v>
      </c>
      <c r="M17" s="49">
        <v>376</v>
      </c>
      <c r="O17" s="44">
        <v>10</v>
      </c>
      <c r="P17" s="43">
        <f t="shared" ca="1" si="1"/>
        <v>48</v>
      </c>
    </row>
    <row r="18" spans="4:16" x14ac:dyDescent="0.2">
      <c r="D18" s="47">
        <v>14</v>
      </c>
      <c r="E18" s="77">
        <f>VLOOKUP(D18,$F$8:M79,$D$5+2,0)</f>
        <v>220</v>
      </c>
      <c r="F18" s="78">
        <v>11</v>
      </c>
      <c r="G18" s="79">
        <f t="shared" ca="1" si="0"/>
        <v>52</v>
      </c>
      <c r="H18" s="47">
        <v>3</v>
      </c>
      <c r="I18" s="48">
        <v>0</v>
      </c>
      <c r="J18" s="48">
        <v>5</v>
      </c>
      <c r="K18" s="48">
        <v>8</v>
      </c>
      <c r="L18" s="48">
        <v>1355</v>
      </c>
      <c r="M18" s="49">
        <v>402</v>
      </c>
      <c r="O18" s="44">
        <v>11</v>
      </c>
      <c r="P18" s="43">
        <f t="shared" ca="1" si="1"/>
        <v>52</v>
      </c>
    </row>
    <row r="19" spans="4:16" x14ac:dyDescent="0.2">
      <c r="D19" s="47">
        <v>57</v>
      </c>
      <c r="E19" s="77">
        <f>VLOOKUP(D19,$F$8:M80,$D$5+2,0)</f>
        <v>288</v>
      </c>
      <c r="F19" s="78">
        <v>12</v>
      </c>
      <c r="G19" s="79">
        <f t="shared" ca="1" si="0"/>
        <v>55</v>
      </c>
      <c r="H19" s="47">
        <v>4</v>
      </c>
      <c r="I19" s="48">
        <v>0</v>
      </c>
      <c r="J19" s="48">
        <v>3</v>
      </c>
      <c r="K19" s="48">
        <v>3</v>
      </c>
      <c r="L19" s="48">
        <v>1434</v>
      </c>
      <c r="M19" s="49">
        <v>470</v>
      </c>
      <c r="O19" s="44">
        <v>12</v>
      </c>
      <c r="P19" s="43">
        <f t="shared" ca="1" si="1"/>
        <v>55</v>
      </c>
    </row>
    <row r="20" spans="4:16" x14ac:dyDescent="0.2">
      <c r="D20" s="47">
        <v>1</v>
      </c>
      <c r="E20" s="77">
        <f>VLOOKUP(D20,$F$8:M81,$D$5+2,0)</f>
        <v>476</v>
      </c>
      <c r="F20" s="78">
        <v>13</v>
      </c>
      <c r="G20" s="79">
        <f t="shared" ca="1" si="0"/>
        <v>15</v>
      </c>
      <c r="H20" s="47">
        <v>4</v>
      </c>
      <c r="I20" s="48">
        <v>8</v>
      </c>
      <c r="J20" s="48">
        <v>12</v>
      </c>
      <c r="K20" s="48">
        <v>3</v>
      </c>
      <c r="L20" s="48">
        <v>2408</v>
      </c>
      <c r="M20" s="49">
        <v>1044</v>
      </c>
      <c r="O20" s="44">
        <v>13</v>
      </c>
      <c r="P20" s="43">
        <f t="shared" ca="1" si="1"/>
        <v>15</v>
      </c>
    </row>
    <row r="21" spans="4:16" x14ac:dyDescent="0.2">
      <c r="D21" s="47">
        <v>43</v>
      </c>
      <c r="E21" s="77">
        <f>VLOOKUP(D21,$F$8:M82,$D$5+2,0)</f>
        <v>744</v>
      </c>
      <c r="F21" s="78">
        <v>14</v>
      </c>
      <c r="G21" s="79">
        <f t="shared" ca="1" si="0"/>
        <v>9</v>
      </c>
      <c r="H21" s="47">
        <v>3</v>
      </c>
      <c r="I21" s="48">
        <v>0</v>
      </c>
      <c r="J21" s="48">
        <v>1</v>
      </c>
      <c r="K21" s="48">
        <v>6</v>
      </c>
      <c r="L21" s="48">
        <v>220</v>
      </c>
      <c r="M21" s="49">
        <v>43</v>
      </c>
      <c r="O21" s="44">
        <v>14</v>
      </c>
      <c r="P21" s="43">
        <f t="shared" ca="1" si="1"/>
        <v>9</v>
      </c>
    </row>
    <row r="22" spans="4:16" x14ac:dyDescent="0.2">
      <c r="D22" s="47">
        <v>1</v>
      </c>
      <c r="E22" s="77">
        <f>VLOOKUP(D22,$F$8:M83,$D$5+2,0)</f>
        <v>476</v>
      </c>
      <c r="F22" s="78">
        <v>15</v>
      </c>
      <c r="G22" s="79">
        <f t="shared" ca="1" si="0"/>
        <v>37</v>
      </c>
      <c r="H22" s="47">
        <v>1</v>
      </c>
      <c r="I22" s="48">
        <v>0</v>
      </c>
      <c r="J22" s="48">
        <v>2</v>
      </c>
      <c r="K22" s="48">
        <v>3</v>
      </c>
      <c r="L22" s="48">
        <v>211</v>
      </c>
      <c r="M22" s="49">
        <v>48</v>
      </c>
      <c r="O22" s="44">
        <v>15</v>
      </c>
      <c r="P22" s="43">
        <f t="shared" ca="1" si="1"/>
        <v>37</v>
      </c>
    </row>
    <row r="23" spans="4:16" x14ac:dyDescent="0.2">
      <c r="D23" s="47">
        <v>7</v>
      </c>
      <c r="E23" s="77">
        <f>VLOOKUP(D23,$F$8:M84,$D$5+2,0)</f>
        <v>1494</v>
      </c>
      <c r="F23" s="78">
        <v>16</v>
      </c>
      <c r="G23" s="79">
        <f t="shared" ca="1" si="0"/>
        <v>41</v>
      </c>
      <c r="H23" s="47">
        <v>13</v>
      </c>
      <c r="I23" s="48">
        <v>3</v>
      </c>
      <c r="J23" s="48">
        <v>1</v>
      </c>
      <c r="K23" s="48">
        <v>0</v>
      </c>
      <c r="L23" s="48">
        <v>2734</v>
      </c>
      <c r="M23" s="49">
        <v>538</v>
      </c>
      <c r="O23" s="44">
        <v>16</v>
      </c>
      <c r="P23" s="43">
        <f t="shared" ca="1" si="1"/>
        <v>41</v>
      </c>
    </row>
    <row r="24" spans="4:16" x14ac:dyDescent="0.2">
      <c r="D24" s="47">
        <v>34</v>
      </c>
      <c r="E24" s="77">
        <f>VLOOKUP(D24,$F$8:M85,$D$5+2,0)</f>
        <v>2224</v>
      </c>
      <c r="F24" s="78">
        <v>17</v>
      </c>
      <c r="G24" s="79">
        <f t="shared" ca="1" si="0"/>
        <v>5</v>
      </c>
      <c r="H24" s="47">
        <v>1</v>
      </c>
      <c r="I24" s="48">
        <v>3</v>
      </c>
      <c r="J24" s="48">
        <v>12</v>
      </c>
      <c r="K24" s="48">
        <v>0</v>
      </c>
      <c r="L24" s="48">
        <v>1347</v>
      </c>
      <c r="M24" s="49">
        <v>308</v>
      </c>
      <c r="O24" s="44">
        <v>17</v>
      </c>
      <c r="P24" s="43">
        <f t="shared" ca="1" si="1"/>
        <v>5</v>
      </c>
    </row>
    <row r="25" spans="4:16" x14ac:dyDescent="0.2">
      <c r="D25" s="47">
        <v>56</v>
      </c>
      <c r="E25" s="77">
        <f>VLOOKUP(D25,$F$8:M86,$D$5+2,0)</f>
        <v>672</v>
      </c>
      <c r="F25" s="78">
        <v>18</v>
      </c>
      <c r="G25" s="79">
        <f t="shared" ca="1" si="0"/>
        <v>44</v>
      </c>
      <c r="H25" s="47">
        <v>1</v>
      </c>
      <c r="I25" s="48">
        <v>0</v>
      </c>
      <c r="J25" s="48">
        <v>11</v>
      </c>
      <c r="K25" s="48">
        <v>15</v>
      </c>
      <c r="L25" s="48">
        <v>1913</v>
      </c>
      <c r="M25" s="49">
        <v>382</v>
      </c>
      <c r="O25" s="44">
        <v>18</v>
      </c>
      <c r="P25" s="43">
        <f t="shared" ca="1" si="1"/>
        <v>44</v>
      </c>
    </row>
    <row r="26" spans="4:16" x14ac:dyDescent="0.2">
      <c r="D26" s="47">
        <v>4</v>
      </c>
      <c r="E26" s="77">
        <f>VLOOKUP(D26,$F$8:M87,$D$5+2,0)</f>
        <v>2922</v>
      </c>
      <c r="F26" s="78">
        <v>19</v>
      </c>
      <c r="G26" s="79">
        <f t="shared" ca="1" si="0"/>
        <v>40</v>
      </c>
      <c r="H26" s="47">
        <v>4</v>
      </c>
      <c r="I26" s="48">
        <v>0</v>
      </c>
      <c r="J26" s="48">
        <v>1</v>
      </c>
      <c r="K26" s="48">
        <v>9</v>
      </c>
      <c r="L26" s="48">
        <v>868</v>
      </c>
      <c r="M26" s="49">
        <v>83</v>
      </c>
      <c r="O26" s="44">
        <v>19</v>
      </c>
      <c r="P26" s="43">
        <f t="shared" ca="1" si="1"/>
        <v>40</v>
      </c>
    </row>
    <row r="27" spans="4:16" x14ac:dyDescent="0.2">
      <c r="D27" s="47">
        <v>22</v>
      </c>
      <c r="E27" s="77">
        <f>VLOOKUP(D27,$F$8:M88,$D$5+2,0)</f>
        <v>253</v>
      </c>
      <c r="F27" s="78">
        <v>20</v>
      </c>
      <c r="G27" s="79">
        <f t="shared" ca="1" si="0"/>
        <v>11</v>
      </c>
      <c r="H27" s="47">
        <v>7</v>
      </c>
      <c r="I27" s="48">
        <v>6</v>
      </c>
      <c r="J27" s="48">
        <v>3</v>
      </c>
      <c r="K27" s="48">
        <v>13</v>
      </c>
      <c r="L27" s="48">
        <v>2164</v>
      </c>
      <c r="M27" s="49">
        <v>1193</v>
      </c>
      <c r="O27" s="44">
        <v>20</v>
      </c>
      <c r="P27" s="43">
        <f t="shared" ca="1" si="1"/>
        <v>11</v>
      </c>
    </row>
    <row r="28" spans="4:16" x14ac:dyDescent="0.2">
      <c r="D28" s="47">
        <v>59</v>
      </c>
      <c r="E28" s="77">
        <f>VLOOKUP(D28,$F$8:M89,$D$5+2,0)</f>
        <v>2243</v>
      </c>
      <c r="F28" s="78">
        <v>21</v>
      </c>
      <c r="G28" s="79">
        <f t="shared" ca="1" si="0"/>
        <v>15</v>
      </c>
      <c r="H28" s="47">
        <v>0</v>
      </c>
      <c r="I28" s="48">
        <v>6</v>
      </c>
      <c r="J28" s="48">
        <v>0</v>
      </c>
      <c r="K28" s="48">
        <v>0</v>
      </c>
      <c r="L28" s="48">
        <v>314</v>
      </c>
      <c r="M28" s="49">
        <v>19</v>
      </c>
      <c r="O28" s="44">
        <v>21</v>
      </c>
      <c r="P28" s="43">
        <f t="shared" ca="1" si="1"/>
        <v>15</v>
      </c>
    </row>
    <row r="29" spans="4:16" x14ac:dyDescent="0.2">
      <c r="D29" s="47">
        <v>25</v>
      </c>
      <c r="E29" s="77">
        <f>VLOOKUP(D29,$F$8:M90,$D$5+2,0)</f>
        <v>170</v>
      </c>
      <c r="F29" s="78">
        <v>22</v>
      </c>
      <c r="G29" s="79">
        <f t="shared" ca="1" si="0"/>
        <v>30</v>
      </c>
      <c r="H29" s="47">
        <v>0</v>
      </c>
      <c r="I29" s="48">
        <v>5</v>
      </c>
      <c r="J29" s="48">
        <v>0</v>
      </c>
      <c r="K29" s="48">
        <v>0</v>
      </c>
      <c r="L29" s="48">
        <v>253</v>
      </c>
      <c r="M29" s="49">
        <v>2</v>
      </c>
      <c r="O29" s="44">
        <v>22</v>
      </c>
      <c r="P29" s="43">
        <f t="shared" ca="1" si="1"/>
        <v>30</v>
      </c>
    </row>
    <row r="30" spans="4:16" x14ac:dyDescent="0.2">
      <c r="D30" s="47">
        <v>14</v>
      </c>
      <c r="E30" s="77">
        <f>VLOOKUP(D30,$F$8:M91,$D$5+2,0)</f>
        <v>220</v>
      </c>
      <c r="F30" s="78">
        <v>23</v>
      </c>
      <c r="G30" s="79">
        <f t="shared" ca="1" si="0"/>
        <v>7</v>
      </c>
      <c r="H30" s="47">
        <v>50</v>
      </c>
      <c r="I30" s="48">
        <v>0</v>
      </c>
      <c r="J30" s="48">
        <v>0</v>
      </c>
      <c r="K30" s="48">
        <v>8</v>
      </c>
      <c r="L30" s="48">
        <v>3046</v>
      </c>
      <c r="M30" s="49">
        <v>623</v>
      </c>
      <c r="O30" s="44">
        <v>23</v>
      </c>
      <c r="P30" s="43">
        <f t="shared" ca="1" si="1"/>
        <v>7</v>
      </c>
    </row>
    <row r="31" spans="4:16" x14ac:dyDescent="0.2">
      <c r="D31" s="47">
        <v>30</v>
      </c>
      <c r="E31" s="77">
        <f>VLOOKUP(D31,$F$8:M92,$D$5+2,0)</f>
        <v>2038</v>
      </c>
      <c r="F31" s="78">
        <v>24</v>
      </c>
      <c r="G31" s="79">
        <f t="shared" ca="1" si="0"/>
        <v>27</v>
      </c>
      <c r="H31" s="47">
        <v>0</v>
      </c>
      <c r="I31" s="48">
        <v>0</v>
      </c>
      <c r="J31" s="48">
        <v>0</v>
      </c>
      <c r="K31" s="48">
        <v>5</v>
      </c>
      <c r="L31" s="48">
        <v>888</v>
      </c>
      <c r="M31" s="49">
        <v>68</v>
      </c>
      <c r="O31" s="44">
        <v>24</v>
      </c>
      <c r="P31" s="43">
        <f t="shared" ca="1" si="1"/>
        <v>27</v>
      </c>
    </row>
    <row r="32" spans="4:16" x14ac:dyDescent="0.2">
      <c r="D32" s="47">
        <v>48</v>
      </c>
      <c r="E32" s="77">
        <f>VLOOKUP(D32,$F$8:M93,$D$5+2,0)</f>
        <v>1676</v>
      </c>
      <c r="F32" s="78">
        <v>25</v>
      </c>
      <c r="G32" s="79">
        <f t="shared" ca="1" si="0"/>
        <v>50</v>
      </c>
      <c r="H32" s="47">
        <v>0</v>
      </c>
      <c r="I32" s="48">
        <v>0</v>
      </c>
      <c r="J32" s="48">
        <v>0</v>
      </c>
      <c r="K32" s="48">
        <v>2</v>
      </c>
      <c r="L32" s="48">
        <v>170</v>
      </c>
      <c r="M32" s="49">
        <v>13</v>
      </c>
      <c r="O32" s="44">
        <v>25</v>
      </c>
      <c r="P32" s="43">
        <f t="shared" ca="1" si="1"/>
        <v>50</v>
      </c>
    </row>
    <row r="33" spans="4:16" x14ac:dyDescent="0.2">
      <c r="D33" s="47">
        <v>56</v>
      </c>
      <c r="E33" s="77">
        <f>VLOOKUP(D33,$F$8:M94,$D$5+2,0)</f>
        <v>672</v>
      </c>
      <c r="F33" s="78">
        <v>26</v>
      </c>
      <c r="G33" s="79">
        <f t="shared" ca="1" si="0"/>
        <v>51</v>
      </c>
      <c r="H33" s="47">
        <v>8</v>
      </c>
      <c r="I33" s="48">
        <v>0</v>
      </c>
      <c r="J33" s="48">
        <v>3</v>
      </c>
      <c r="K33" s="48">
        <v>61</v>
      </c>
      <c r="L33" s="48">
        <v>3869</v>
      </c>
      <c r="M33" s="49">
        <v>985</v>
      </c>
      <c r="O33" s="44">
        <v>26</v>
      </c>
      <c r="P33" s="43">
        <f t="shared" ca="1" si="1"/>
        <v>51</v>
      </c>
    </row>
    <row r="34" spans="4:16" x14ac:dyDescent="0.2">
      <c r="D34" s="47">
        <v>33</v>
      </c>
      <c r="E34" s="77">
        <f>VLOOKUP(D34,$F$8:M95,$D$5+2,0)</f>
        <v>2998</v>
      </c>
      <c r="F34" s="78">
        <v>27</v>
      </c>
      <c r="G34" s="79">
        <f t="shared" ca="1" si="0"/>
        <v>19</v>
      </c>
      <c r="H34" s="47">
        <v>2</v>
      </c>
      <c r="I34" s="48">
        <v>0</v>
      </c>
      <c r="J34" s="48">
        <v>6</v>
      </c>
      <c r="K34" s="48">
        <v>31</v>
      </c>
      <c r="L34" s="48">
        <v>2257</v>
      </c>
      <c r="M34" s="49">
        <v>666</v>
      </c>
      <c r="O34" s="44">
        <v>27</v>
      </c>
      <c r="P34" s="43">
        <f t="shared" ca="1" si="1"/>
        <v>19</v>
      </c>
    </row>
    <row r="35" spans="4:16" x14ac:dyDescent="0.2">
      <c r="D35" s="47">
        <v>11</v>
      </c>
      <c r="E35" s="77">
        <f>VLOOKUP(D35,$F$8:M96,$D$5+2,0)</f>
        <v>1355</v>
      </c>
      <c r="F35" s="78">
        <v>28</v>
      </c>
      <c r="G35" s="79">
        <f t="shared" ca="1" si="0"/>
        <v>51</v>
      </c>
      <c r="H35" s="47">
        <v>1</v>
      </c>
      <c r="I35" s="48">
        <v>0</v>
      </c>
      <c r="J35" s="48">
        <v>0</v>
      </c>
      <c r="K35" s="48">
        <v>4</v>
      </c>
      <c r="L35" s="48">
        <v>391</v>
      </c>
      <c r="M35" s="49">
        <v>38</v>
      </c>
      <c r="O35" s="44">
        <v>28</v>
      </c>
      <c r="P35" s="43">
        <f t="shared" ca="1" si="1"/>
        <v>51</v>
      </c>
    </row>
    <row r="36" spans="4:16" x14ac:dyDescent="0.2">
      <c r="D36" s="47">
        <v>56</v>
      </c>
      <c r="E36" s="77">
        <f>VLOOKUP(D36,$F$8:M97,$D$5+2,0)</f>
        <v>672</v>
      </c>
      <c r="F36" s="78">
        <v>29</v>
      </c>
      <c r="G36" s="79">
        <f t="shared" ca="1" si="0"/>
        <v>9</v>
      </c>
      <c r="H36" s="47">
        <v>0</v>
      </c>
      <c r="I36" s="48">
        <v>7</v>
      </c>
      <c r="J36" s="48">
        <v>1</v>
      </c>
      <c r="K36" s="48">
        <v>2</v>
      </c>
      <c r="L36" s="48">
        <v>572</v>
      </c>
      <c r="M36" s="49">
        <v>29</v>
      </c>
      <c r="O36" s="44">
        <v>29</v>
      </c>
      <c r="P36" s="43">
        <f t="shared" ca="1" si="1"/>
        <v>9</v>
      </c>
    </row>
    <row r="37" spans="4:16" x14ac:dyDescent="0.2">
      <c r="D37" s="47">
        <v>53</v>
      </c>
      <c r="E37" s="77">
        <f>VLOOKUP(D37,$F$8:M98,$D$5+2,0)</f>
        <v>1960</v>
      </c>
      <c r="F37" s="78">
        <v>30</v>
      </c>
      <c r="G37" s="79">
        <f t="shared" ca="1" si="0"/>
        <v>60</v>
      </c>
      <c r="H37" s="47">
        <v>3</v>
      </c>
      <c r="I37" s="48">
        <v>5</v>
      </c>
      <c r="J37" s="48">
        <v>6</v>
      </c>
      <c r="K37" s="48">
        <v>1</v>
      </c>
      <c r="L37" s="48">
        <v>2038</v>
      </c>
      <c r="M37" s="49">
        <v>438</v>
      </c>
      <c r="O37" s="44">
        <v>30</v>
      </c>
      <c r="P37" s="43">
        <f t="shared" ca="1" si="1"/>
        <v>60</v>
      </c>
    </row>
    <row r="38" spans="4:16" x14ac:dyDescent="0.2">
      <c r="D38" s="47">
        <v>62</v>
      </c>
      <c r="E38" s="77">
        <f>VLOOKUP(D38,$F$8:M99,$D$5+2,0)</f>
        <v>3180</v>
      </c>
      <c r="F38" s="78">
        <v>31</v>
      </c>
      <c r="G38" s="79">
        <f t="shared" ca="1" si="0"/>
        <v>38</v>
      </c>
      <c r="H38" s="47">
        <v>0</v>
      </c>
      <c r="I38" s="48">
        <v>6</v>
      </c>
      <c r="J38" s="48">
        <v>3</v>
      </c>
      <c r="K38" s="48">
        <v>0</v>
      </c>
      <c r="L38" s="48">
        <v>567</v>
      </c>
      <c r="M38" s="49">
        <v>105</v>
      </c>
      <c r="O38" s="44">
        <v>31</v>
      </c>
      <c r="P38" s="43">
        <f t="shared" ca="1" si="1"/>
        <v>38</v>
      </c>
    </row>
    <row r="39" spans="4:16" x14ac:dyDescent="0.2">
      <c r="D39" s="47">
        <v>34</v>
      </c>
      <c r="E39" s="77">
        <f>VLOOKUP(D39,$F$8:M100,$D$5+2,0)</f>
        <v>2224</v>
      </c>
      <c r="F39" s="78">
        <v>32</v>
      </c>
      <c r="G39" s="79">
        <f t="shared" ca="1" si="0"/>
        <v>29</v>
      </c>
      <c r="H39" s="47">
        <v>0</v>
      </c>
      <c r="I39" s="48">
        <v>6</v>
      </c>
      <c r="J39" s="48">
        <v>1</v>
      </c>
      <c r="K39" s="48">
        <v>0</v>
      </c>
      <c r="L39" s="48">
        <v>459</v>
      </c>
      <c r="M39" s="49">
        <v>46</v>
      </c>
      <c r="O39" s="44">
        <v>32</v>
      </c>
      <c r="P39" s="43">
        <f t="shared" ca="1" si="1"/>
        <v>29</v>
      </c>
    </row>
    <row r="40" spans="4:16" x14ac:dyDescent="0.2">
      <c r="D40" s="47">
        <v>28</v>
      </c>
      <c r="E40" s="77">
        <f>VLOOKUP(D40,$F$8:M101,$D$5+2,0)</f>
        <v>391</v>
      </c>
      <c r="F40" s="78">
        <v>33</v>
      </c>
      <c r="G40" s="79">
        <f t="shared" ref="G40:G69" ca="1" si="2">VLOOKUP(F40,O:P,2,0)</f>
        <v>8</v>
      </c>
      <c r="H40" s="47">
        <v>0</v>
      </c>
      <c r="I40" s="48">
        <v>5</v>
      </c>
      <c r="J40" s="48">
        <v>3</v>
      </c>
      <c r="K40" s="48">
        <v>9</v>
      </c>
      <c r="L40" s="48">
        <v>2998</v>
      </c>
      <c r="M40" s="49">
        <v>1722</v>
      </c>
      <c r="O40" s="44">
        <v>33</v>
      </c>
      <c r="P40" s="43">
        <f t="shared" ca="1" si="1"/>
        <v>8</v>
      </c>
    </row>
    <row r="41" spans="4:16" x14ac:dyDescent="0.2">
      <c r="D41" s="47">
        <v>20</v>
      </c>
      <c r="E41" s="77">
        <f>VLOOKUP(D41,$F$8:M102,$D$5+2,0)</f>
        <v>2164</v>
      </c>
      <c r="F41" s="78">
        <v>34</v>
      </c>
      <c r="G41" s="79">
        <f t="shared" ca="1" si="2"/>
        <v>37</v>
      </c>
      <c r="H41" s="47">
        <v>0</v>
      </c>
      <c r="I41" s="48">
        <v>9</v>
      </c>
      <c r="J41" s="48">
        <v>0</v>
      </c>
      <c r="K41" s="48">
        <v>12</v>
      </c>
      <c r="L41" s="48">
        <v>2224</v>
      </c>
      <c r="M41" s="49">
        <v>929</v>
      </c>
      <c r="O41" s="44">
        <v>34</v>
      </c>
      <c r="P41" s="43">
        <f t="shared" ca="1" si="1"/>
        <v>37</v>
      </c>
    </row>
    <row r="42" spans="4:16" x14ac:dyDescent="0.2">
      <c r="D42" s="47">
        <v>41</v>
      </c>
      <c r="E42" s="77">
        <f>VLOOKUP(D42,$F$8:M103,$D$5+2,0)</f>
        <v>1900</v>
      </c>
      <c r="F42" s="78">
        <v>35</v>
      </c>
      <c r="G42" s="79">
        <f t="shared" ca="1" si="2"/>
        <v>19</v>
      </c>
      <c r="H42" s="47">
        <v>1</v>
      </c>
      <c r="I42" s="48">
        <v>10</v>
      </c>
      <c r="J42" s="48">
        <v>0</v>
      </c>
      <c r="K42" s="48">
        <v>3</v>
      </c>
      <c r="L42" s="48">
        <v>340</v>
      </c>
      <c r="M42" s="49">
        <v>14</v>
      </c>
      <c r="O42" s="44">
        <v>35</v>
      </c>
      <c r="P42" s="43">
        <f t="shared" ca="1" si="1"/>
        <v>19</v>
      </c>
    </row>
    <row r="43" spans="4:16" x14ac:dyDescent="0.2">
      <c r="D43" s="47">
        <v>23</v>
      </c>
      <c r="E43" s="77">
        <f>VLOOKUP(D43,$F$8:M104,$D$5+2,0)</f>
        <v>3046</v>
      </c>
      <c r="F43" s="78">
        <v>36</v>
      </c>
      <c r="G43" s="79">
        <f t="shared" ca="1" si="2"/>
        <v>19</v>
      </c>
      <c r="H43" s="47">
        <v>1</v>
      </c>
      <c r="I43" s="48">
        <v>4</v>
      </c>
      <c r="J43" s="48">
        <v>1</v>
      </c>
      <c r="K43" s="48">
        <v>9</v>
      </c>
      <c r="L43" s="48">
        <v>347</v>
      </c>
      <c r="M43" s="49">
        <v>21</v>
      </c>
      <c r="O43" s="44">
        <v>36</v>
      </c>
      <c r="P43" s="43">
        <f t="shared" ca="1" si="1"/>
        <v>19</v>
      </c>
    </row>
    <row r="44" spans="4:16" x14ac:dyDescent="0.2">
      <c r="D44" s="47">
        <v>4</v>
      </c>
      <c r="E44" s="77">
        <f>VLOOKUP(D44,$F$8:M105,$D$5+2,0)</f>
        <v>2922</v>
      </c>
      <c r="F44" s="78">
        <v>37</v>
      </c>
      <c r="G44" s="79">
        <f t="shared" ca="1" si="2"/>
        <v>59</v>
      </c>
      <c r="H44" s="47">
        <v>1</v>
      </c>
      <c r="I44" s="48">
        <v>3</v>
      </c>
      <c r="J44" s="48">
        <v>4</v>
      </c>
      <c r="K44" s="48">
        <v>12</v>
      </c>
      <c r="L44" s="48">
        <v>2597</v>
      </c>
      <c r="M44" s="49">
        <v>664</v>
      </c>
      <c r="O44" s="44">
        <v>37</v>
      </c>
      <c r="P44" s="43">
        <f t="shared" ca="1" si="1"/>
        <v>59</v>
      </c>
    </row>
    <row r="45" spans="4:16" x14ac:dyDescent="0.2">
      <c r="D45" s="47">
        <v>9</v>
      </c>
      <c r="E45" s="77">
        <f>VLOOKUP(D45,$F$8:M106,$D$5+2,0)</f>
        <v>1814</v>
      </c>
      <c r="F45" s="78">
        <v>38</v>
      </c>
      <c r="G45" s="79">
        <f t="shared" ca="1" si="2"/>
        <v>25</v>
      </c>
      <c r="H45" s="47">
        <v>2</v>
      </c>
      <c r="I45" s="48">
        <v>3</v>
      </c>
      <c r="J45" s="48">
        <v>9</v>
      </c>
      <c r="K45" s="48">
        <v>11</v>
      </c>
      <c r="L45" s="48">
        <v>2225</v>
      </c>
      <c r="M45" s="49">
        <v>520</v>
      </c>
      <c r="O45" s="44">
        <v>38</v>
      </c>
      <c r="P45" s="43">
        <f t="shared" ca="1" si="1"/>
        <v>25</v>
      </c>
    </row>
    <row r="46" spans="4:16" x14ac:dyDescent="0.2">
      <c r="D46" s="47">
        <v>39</v>
      </c>
      <c r="E46" s="77">
        <f>VLOOKUP(D46,$F$8:M107,$D$5+2,0)</f>
        <v>1593</v>
      </c>
      <c r="F46" s="78">
        <v>39</v>
      </c>
      <c r="G46" s="79">
        <f t="shared" ca="1" si="2"/>
        <v>54</v>
      </c>
      <c r="H46" s="47">
        <v>1</v>
      </c>
      <c r="I46" s="48">
        <v>7</v>
      </c>
      <c r="J46" s="48">
        <v>10</v>
      </c>
      <c r="K46" s="48">
        <v>9</v>
      </c>
      <c r="L46" s="48">
        <v>1593</v>
      </c>
      <c r="M46" s="49">
        <v>400</v>
      </c>
      <c r="O46" s="44">
        <v>39</v>
      </c>
      <c r="P46" s="43">
        <f t="shared" ca="1" si="1"/>
        <v>54</v>
      </c>
    </row>
    <row r="47" spans="4:16" x14ac:dyDescent="0.2">
      <c r="D47" s="47">
        <v>50</v>
      </c>
      <c r="E47" s="77">
        <f>VLOOKUP(D47,$F$8:M108,$D$5+2,0)</f>
        <v>276</v>
      </c>
      <c r="F47" s="78">
        <v>40</v>
      </c>
      <c r="G47" s="79">
        <f t="shared" ca="1" si="2"/>
        <v>49</v>
      </c>
      <c r="H47" s="47">
        <v>5</v>
      </c>
      <c r="I47" s="48">
        <v>3</v>
      </c>
      <c r="J47" s="48">
        <v>1</v>
      </c>
      <c r="K47" s="48">
        <v>3</v>
      </c>
      <c r="L47" s="48">
        <v>1439</v>
      </c>
      <c r="M47" s="49">
        <v>328</v>
      </c>
      <c r="O47" s="44">
        <v>40</v>
      </c>
      <c r="P47" s="43">
        <f t="shared" ca="1" si="1"/>
        <v>49</v>
      </c>
    </row>
    <row r="48" spans="4:16" x14ac:dyDescent="0.2">
      <c r="D48" s="47">
        <v>41</v>
      </c>
      <c r="E48" s="77">
        <f>VLOOKUP(D48,$F$8:M109,$D$5+2,0)</f>
        <v>1900</v>
      </c>
      <c r="F48" s="78">
        <v>41</v>
      </c>
      <c r="G48" s="79">
        <f t="shared" ca="1" si="2"/>
        <v>13</v>
      </c>
      <c r="H48" s="47">
        <v>1</v>
      </c>
      <c r="I48" s="48">
        <v>3</v>
      </c>
      <c r="J48" s="48">
        <v>1</v>
      </c>
      <c r="K48" s="48">
        <v>3</v>
      </c>
      <c r="L48" s="48">
        <v>1900</v>
      </c>
      <c r="M48" s="49">
        <v>928</v>
      </c>
      <c r="O48" s="44">
        <v>41</v>
      </c>
      <c r="P48" s="43">
        <f t="shared" ca="1" si="1"/>
        <v>13</v>
      </c>
    </row>
    <row r="49" spans="4:16" x14ac:dyDescent="0.2">
      <c r="D49" s="47">
        <v>13</v>
      </c>
      <c r="E49" s="77">
        <f>VLOOKUP(D49,$F$8:M110,$D$5+2,0)</f>
        <v>2408</v>
      </c>
      <c r="F49" s="78">
        <v>42</v>
      </c>
      <c r="G49" s="79">
        <f t="shared" ca="1" si="2"/>
        <v>21</v>
      </c>
      <c r="H49" s="47">
        <v>0</v>
      </c>
      <c r="I49" s="48">
        <v>3</v>
      </c>
      <c r="J49" s="48">
        <v>0</v>
      </c>
      <c r="K49" s="48">
        <v>2</v>
      </c>
      <c r="L49" s="48">
        <v>396</v>
      </c>
      <c r="M49" s="49">
        <v>37</v>
      </c>
      <c r="O49" s="44">
        <v>42</v>
      </c>
      <c r="P49" s="43">
        <f t="shared" ca="1" si="1"/>
        <v>21</v>
      </c>
    </row>
    <row r="50" spans="4:16" x14ac:dyDescent="0.2">
      <c r="D50" s="47">
        <v>1</v>
      </c>
      <c r="E50" s="77">
        <f>VLOOKUP(D50,$F$8:M111,$D$5+2,0)</f>
        <v>476</v>
      </c>
      <c r="F50" s="78">
        <v>43</v>
      </c>
      <c r="G50" s="79">
        <f t="shared" ca="1" si="2"/>
        <v>56</v>
      </c>
      <c r="H50" s="47">
        <v>0</v>
      </c>
      <c r="I50" s="48">
        <v>3</v>
      </c>
      <c r="J50" s="48">
        <v>1</v>
      </c>
      <c r="K50" s="48">
        <v>1</v>
      </c>
      <c r="L50" s="48">
        <v>744</v>
      </c>
      <c r="M50" s="49">
        <v>84</v>
      </c>
      <c r="O50" s="44">
        <v>43</v>
      </c>
      <c r="P50" s="43">
        <f t="shared" ca="1" si="1"/>
        <v>56</v>
      </c>
    </row>
    <row r="51" spans="4:16" x14ac:dyDescent="0.2">
      <c r="D51" s="47">
        <v>18</v>
      </c>
      <c r="E51" s="77">
        <f>VLOOKUP(D51,$F$8:M112,$D$5+2,0)</f>
        <v>1913</v>
      </c>
      <c r="F51" s="78">
        <v>44</v>
      </c>
      <c r="G51" s="79">
        <f t="shared" ca="1" si="2"/>
        <v>25</v>
      </c>
      <c r="H51" s="47">
        <v>3</v>
      </c>
      <c r="I51" s="48">
        <v>8</v>
      </c>
      <c r="J51" s="48">
        <v>2</v>
      </c>
      <c r="K51" s="48">
        <v>3</v>
      </c>
      <c r="L51" s="48">
        <v>2033</v>
      </c>
      <c r="M51" s="49">
        <v>302</v>
      </c>
      <c r="O51" s="44">
        <v>44</v>
      </c>
      <c r="P51" s="43">
        <f t="shared" ca="1" si="1"/>
        <v>25</v>
      </c>
    </row>
    <row r="52" spans="4:16" x14ac:dyDescent="0.2">
      <c r="D52" s="47">
        <v>43</v>
      </c>
      <c r="E52" s="77">
        <f>VLOOKUP(D52,$F$8:M113,$D$5+2,0)</f>
        <v>744</v>
      </c>
      <c r="F52" s="78">
        <v>45</v>
      </c>
      <c r="G52" s="79">
        <f t="shared" ca="1" si="2"/>
        <v>32</v>
      </c>
      <c r="H52" s="47">
        <v>2</v>
      </c>
      <c r="I52" s="48">
        <v>0</v>
      </c>
      <c r="J52" s="48">
        <v>9</v>
      </c>
      <c r="K52" s="48">
        <v>5</v>
      </c>
      <c r="L52" s="48">
        <v>622</v>
      </c>
      <c r="M52" s="49">
        <v>311</v>
      </c>
      <c r="O52" s="44">
        <v>45</v>
      </c>
      <c r="P52" s="43">
        <f t="shared" ca="1" si="1"/>
        <v>32</v>
      </c>
    </row>
    <row r="53" spans="4:16" x14ac:dyDescent="0.2">
      <c r="D53" s="47">
        <v>27</v>
      </c>
      <c r="E53" s="77">
        <f>VLOOKUP(D53,$F$8:M114,$D$5+2,0)</f>
        <v>2257</v>
      </c>
      <c r="F53" s="78">
        <v>46</v>
      </c>
      <c r="G53" s="79">
        <f t="shared" ca="1" si="2"/>
        <v>32</v>
      </c>
      <c r="H53" s="47">
        <v>10</v>
      </c>
      <c r="I53" s="48">
        <v>9</v>
      </c>
      <c r="J53" s="48">
        <v>12</v>
      </c>
      <c r="K53" s="48">
        <v>0</v>
      </c>
      <c r="L53" s="48">
        <v>2240</v>
      </c>
      <c r="M53" s="49">
        <v>509</v>
      </c>
      <c r="O53" s="44">
        <v>46</v>
      </c>
      <c r="P53" s="43">
        <f t="shared" ca="1" si="1"/>
        <v>32</v>
      </c>
    </row>
    <row r="54" spans="4:16" x14ac:dyDescent="0.2">
      <c r="D54" s="47">
        <v>53</v>
      </c>
      <c r="E54" s="77">
        <f>VLOOKUP(D54,$F$8:M115,$D$5+2,0)</f>
        <v>1960</v>
      </c>
      <c r="F54" s="78">
        <v>47</v>
      </c>
      <c r="G54" s="79">
        <f t="shared" ca="1" si="2"/>
        <v>60</v>
      </c>
      <c r="H54" s="47">
        <v>0</v>
      </c>
      <c r="I54" s="48">
        <v>7</v>
      </c>
      <c r="J54" s="48">
        <v>9</v>
      </c>
      <c r="K54" s="48">
        <v>1</v>
      </c>
      <c r="L54" s="48">
        <v>1703</v>
      </c>
      <c r="M54" s="49">
        <v>388</v>
      </c>
      <c r="O54" s="44">
        <v>47</v>
      </c>
      <c r="P54" s="43">
        <f t="shared" ca="1" si="1"/>
        <v>60</v>
      </c>
    </row>
    <row r="55" spans="4:16" x14ac:dyDescent="0.2">
      <c r="D55" s="47">
        <v>32</v>
      </c>
      <c r="E55" s="77">
        <f>VLOOKUP(D55,$F$8:M116,$D$5+2,0)</f>
        <v>459</v>
      </c>
      <c r="F55" s="78">
        <v>48</v>
      </c>
      <c r="G55" s="79">
        <f t="shared" ca="1" si="2"/>
        <v>46</v>
      </c>
      <c r="H55" s="47">
        <v>1</v>
      </c>
      <c r="I55" s="48">
        <v>7</v>
      </c>
      <c r="J55" s="48">
        <v>6</v>
      </c>
      <c r="K55" s="48">
        <v>0</v>
      </c>
      <c r="L55" s="48">
        <v>1676</v>
      </c>
      <c r="M55" s="49">
        <v>859</v>
      </c>
      <c r="O55" s="44">
        <v>48</v>
      </c>
      <c r="P55" s="43">
        <f t="shared" ca="1" si="1"/>
        <v>46</v>
      </c>
    </row>
    <row r="56" spans="4:16" x14ac:dyDescent="0.2">
      <c r="D56" s="47">
        <v>48</v>
      </c>
      <c r="E56" s="77">
        <f>VLOOKUP(D56,$F$8:M117,$D$5+2,0)</f>
        <v>1676</v>
      </c>
      <c r="F56" s="78">
        <v>49</v>
      </c>
      <c r="G56" s="79">
        <f t="shared" ca="1" si="2"/>
        <v>50</v>
      </c>
      <c r="H56" s="47">
        <v>0</v>
      </c>
      <c r="I56" s="48">
        <v>4</v>
      </c>
      <c r="J56" s="48">
        <v>0</v>
      </c>
      <c r="K56" s="48">
        <v>0</v>
      </c>
      <c r="L56" s="48">
        <v>444</v>
      </c>
      <c r="M56" s="49">
        <v>27</v>
      </c>
      <c r="O56" s="44">
        <v>49</v>
      </c>
      <c r="P56" s="43">
        <f t="shared" ca="1" si="1"/>
        <v>50</v>
      </c>
    </row>
    <row r="57" spans="4:16" x14ac:dyDescent="0.2">
      <c r="D57" s="47">
        <v>14</v>
      </c>
      <c r="E57" s="77">
        <f>VLOOKUP(D57,$F$8:M118,$D$5+2,0)</f>
        <v>220</v>
      </c>
      <c r="F57" s="78">
        <v>50</v>
      </c>
      <c r="G57" s="79">
        <f t="shared" ca="1" si="2"/>
        <v>62</v>
      </c>
      <c r="H57" s="47">
        <v>0</v>
      </c>
      <c r="I57" s="48">
        <v>4</v>
      </c>
      <c r="J57" s="48">
        <v>0</v>
      </c>
      <c r="K57" s="48">
        <v>4</v>
      </c>
      <c r="L57" s="48">
        <v>276</v>
      </c>
      <c r="M57" s="49">
        <v>1</v>
      </c>
      <c r="O57" s="44">
        <v>50</v>
      </c>
      <c r="P57" s="43">
        <f t="shared" ca="1" si="1"/>
        <v>62</v>
      </c>
    </row>
    <row r="58" spans="4:16" x14ac:dyDescent="0.2">
      <c r="D58" s="47">
        <v>55</v>
      </c>
      <c r="E58" s="77">
        <f>VLOOKUP(D58,$F$8:M119,$D$5+2,0)</f>
        <v>2293</v>
      </c>
      <c r="F58" s="78">
        <v>51</v>
      </c>
      <c r="G58" s="79">
        <f t="shared" ca="1" si="2"/>
        <v>7</v>
      </c>
      <c r="H58" s="47">
        <v>0</v>
      </c>
      <c r="I58" s="48">
        <v>4</v>
      </c>
      <c r="J58" s="48">
        <v>7</v>
      </c>
      <c r="K58" s="48">
        <v>2</v>
      </c>
      <c r="L58" s="48">
        <v>2474</v>
      </c>
      <c r="M58" s="49">
        <v>492</v>
      </c>
      <c r="O58" s="44">
        <v>51</v>
      </c>
      <c r="P58" s="43">
        <f t="shared" ca="1" si="1"/>
        <v>7</v>
      </c>
    </row>
    <row r="59" spans="4:16" x14ac:dyDescent="0.2">
      <c r="D59" s="47">
        <v>61</v>
      </c>
      <c r="E59" s="77">
        <f>VLOOKUP(D59,$F$8:M120,$D$5+2,0)</f>
        <v>1477</v>
      </c>
      <c r="F59" s="78">
        <v>52</v>
      </c>
      <c r="G59" s="79">
        <f t="shared" ca="1" si="2"/>
        <v>43</v>
      </c>
      <c r="H59" s="47">
        <v>0</v>
      </c>
      <c r="I59" s="48">
        <v>4</v>
      </c>
      <c r="J59" s="48">
        <v>4</v>
      </c>
      <c r="K59" s="48">
        <v>6</v>
      </c>
      <c r="L59" s="48">
        <v>1454</v>
      </c>
      <c r="M59" s="49">
        <v>277</v>
      </c>
      <c r="O59" s="44">
        <v>52</v>
      </c>
      <c r="P59" s="43">
        <f t="shared" ca="1" si="1"/>
        <v>43</v>
      </c>
    </row>
    <row r="60" spans="4:16" x14ac:dyDescent="0.2">
      <c r="D60" s="47">
        <v>38</v>
      </c>
      <c r="E60" s="77">
        <f>VLOOKUP(D60,$F$8:M121,$D$5+2,0)</f>
        <v>2225</v>
      </c>
      <c r="F60" s="78">
        <v>53</v>
      </c>
      <c r="G60" s="79">
        <f t="shared" ca="1" si="2"/>
        <v>20</v>
      </c>
      <c r="H60" s="47">
        <v>35</v>
      </c>
      <c r="I60" s="48">
        <v>5</v>
      </c>
      <c r="J60" s="48">
        <v>12</v>
      </c>
      <c r="K60" s="48">
        <v>6</v>
      </c>
      <c r="L60" s="48">
        <v>1960</v>
      </c>
      <c r="M60" s="49">
        <v>282</v>
      </c>
      <c r="O60" s="44">
        <v>53</v>
      </c>
      <c r="P60" s="43">
        <f t="shared" ca="1" si="1"/>
        <v>20</v>
      </c>
    </row>
    <row r="61" spans="4:16" x14ac:dyDescent="0.2">
      <c r="D61" s="47">
        <v>22</v>
      </c>
      <c r="E61" s="77">
        <f>VLOOKUP(D61,$F$8:M122,$D$5+2,0)</f>
        <v>253</v>
      </c>
      <c r="F61" s="78">
        <v>54</v>
      </c>
      <c r="G61" s="79">
        <f t="shared" ca="1" si="2"/>
        <v>35</v>
      </c>
      <c r="H61" s="47">
        <v>3</v>
      </c>
      <c r="I61" s="48">
        <v>0</v>
      </c>
      <c r="J61" s="48">
        <v>2</v>
      </c>
      <c r="K61" s="48">
        <v>6</v>
      </c>
      <c r="L61" s="48">
        <v>1878</v>
      </c>
      <c r="M61" s="49">
        <v>243</v>
      </c>
      <c r="O61" s="44">
        <v>54</v>
      </c>
      <c r="P61" s="43">
        <f t="shared" ca="1" si="1"/>
        <v>35</v>
      </c>
    </row>
    <row r="62" spans="4:16" x14ac:dyDescent="0.2">
      <c r="D62" s="47">
        <v>10</v>
      </c>
      <c r="E62" s="77">
        <f>VLOOKUP(D62,$F$8:M123,$D$5+2,0)</f>
        <v>2723</v>
      </c>
      <c r="F62" s="78">
        <v>55</v>
      </c>
      <c r="G62" s="79">
        <f t="shared" ca="1" si="2"/>
        <v>5</v>
      </c>
      <c r="H62" s="47">
        <v>3</v>
      </c>
      <c r="I62" s="48">
        <v>0</v>
      </c>
      <c r="J62" s="48">
        <v>14</v>
      </c>
      <c r="K62" s="48">
        <v>2</v>
      </c>
      <c r="L62" s="48">
        <v>2293</v>
      </c>
      <c r="M62" s="49">
        <v>855</v>
      </c>
      <c r="O62" s="44">
        <v>55</v>
      </c>
      <c r="P62" s="43">
        <f t="shared" ca="1" si="1"/>
        <v>5</v>
      </c>
    </row>
    <row r="63" spans="4:16" x14ac:dyDescent="0.2">
      <c r="D63" s="47">
        <v>7</v>
      </c>
      <c r="E63" s="77">
        <f>VLOOKUP(D63,$F$8:M124,$D$5+2,0)</f>
        <v>1494</v>
      </c>
      <c r="F63" s="78">
        <v>56</v>
      </c>
      <c r="G63" s="79">
        <f t="shared" ca="1" si="2"/>
        <v>26</v>
      </c>
      <c r="H63" s="47">
        <v>1</v>
      </c>
      <c r="I63" s="48">
        <v>0</v>
      </c>
      <c r="J63" s="48">
        <v>8</v>
      </c>
      <c r="K63" s="48">
        <v>0</v>
      </c>
      <c r="L63" s="48">
        <v>672</v>
      </c>
      <c r="M63" s="49">
        <v>3</v>
      </c>
      <c r="O63" s="44">
        <v>56</v>
      </c>
      <c r="P63" s="43">
        <f t="shared" ca="1" si="1"/>
        <v>26</v>
      </c>
    </row>
    <row r="64" spans="4:16" x14ac:dyDescent="0.2">
      <c r="D64" s="47">
        <v>4</v>
      </c>
      <c r="E64" s="77">
        <f>VLOOKUP(D64,$F$8:M125,$D$5+2,0)</f>
        <v>2922</v>
      </c>
      <c r="F64" s="78">
        <v>57</v>
      </c>
      <c r="G64" s="79">
        <f t="shared" ca="1" si="2"/>
        <v>20</v>
      </c>
      <c r="H64" s="47">
        <v>1</v>
      </c>
      <c r="I64" s="48">
        <v>0</v>
      </c>
      <c r="J64" s="48">
        <v>4</v>
      </c>
      <c r="K64" s="48">
        <v>0</v>
      </c>
      <c r="L64" s="48">
        <v>288</v>
      </c>
      <c r="M64" s="49">
        <v>5</v>
      </c>
      <c r="O64" s="44">
        <v>57</v>
      </c>
      <c r="P64" s="43">
        <f t="shared" ca="1" si="1"/>
        <v>20</v>
      </c>
    </row>
    <row r="65" spans="4:16" x14ac:dyDescent="0.2">
      <c r="D65" s="47">
        <v>44</v>
      </c>
      <c r="E65" s="77">
        <f>VLOOKUP(D65,$F$8:M126,$D$5+2,0)</f>
        <v>2033</v>
      </c>
      <c r="F65" s="78">
        <v>58</v>
      </c>
      <c r="G65" s="79">
        <f t="shared" ca="1" si="2"/>
        <v>40</v>
      </c>
      <c r="H65" s="47">
        <v>5</v>
      </c>
      <c r="I65" s="48">
        <v>0</v>
      </c>
      <c r="J65" s="48">
        <v>1</v>
      </c>
      <c r="K65" s="48">
        <v>6</v>
      </c>
      <c r="L65" s="48">
        <v>3495</v>
      </c>
      <c r="M65" s="49">
        <v>533</v>
      </c>
      <c r="O65" s="44">
        <v>58</v>
      </c>
      <c r="P65" s="43">
        <f t="shared" ca="1" si="1"/>
        <v>40</v>
      </c>
    </row>
    <row r="66" spans="4:16" x14ac:dyDescent="0.2">
      <c r="D66" s="47">
        <v>50</v>
      </c>
      <c r="E66" s="77">
        <f>VLOOKUP(D66,$F$8:M127,$D$5+2,0)</f>
        <v>276</v>
      </c>
      <c r="F66" s="78">
        <v>59</v>
      </c>
      <c r="G66" s="79">
        <f t="shared" ca="1" si="2"/>
        <v>38</v>
      </c>
      <c r="H66" s="47">
        <v>4</v>
      </c>
      <c r="I66" s="48">
        <v>0</v>
      </c>
      <c r="J66" s="48">
        <v>109</v>
      </c>
      <c r="K66" s="48">
        <v>7</v>
      </c>
      <c r="L66" s="48">
        <v>2243</v>
      </c>
      <c r="M66" s="49">
        <v>383</v>
      </c>
      <c r="O66" s="44">
        <v>59</v>
      </c>
      <c r="P66" s="43">
        <f t="shared" ca="1" si="1"/>
        <v>38</v>
      </c>
    </row>
    <row r="67" spans="4:16" x14ac:dyDescent="0.2">
      <c r="D67" s="47">
        <v>23</v>
      </c>
      <c r="E67" s="77">
        <f>VLOOKUP(D67,$F$8:M128,$D$5+2,0)</f>
        <v>3046</v>
      </c>
      <c r="F67" s="78">
        <v>60</v>
      </c>
      <c r="G67" s="79">
        <f t="shared" ca="1" si="2"/>
        <v>45</v>
      </c>
      <c r="H67" s="47">
        <v>10</v>
      </c>
      <c r="I67" s="48">
        <v>2</v>
      </c>
      <c r="J67" s="48">
        <v>29</v>
      </c>
      <c r="K67" s="48">
        <v>12</v>
      </c>
      <c r="L67" s="48">
        <v>2825</v>
      </c>
      <c r="M67" s="49">
        <v>326</v>
      </c>
      <c r="O67" s="44">
        <v>60</v>
      </c>
      <c r="P67" s="43">
        <f t="shared" ca="1" si="1"/>
        <v>45</v>
      </c>
    </row>
    <row r="68" spans="4:16" x14ac:dyDescent="0.2">
      <c r="D68" s="47">
        <v>57</v>
      </c>
      <c r="E68" s="77">
        <f>VLOOKUP(D68,$F$8:M129,$D$5+2,0)</f>
        <v>288</v>
      </c>
      <c r="F68" s="78">
        <v>61</v>
      </c>
      <c r="G68" s="79">
        <f t="shared" ca="1" si="2"/>
        <v>28</v>
      </c>
      <c r="H68" s="47">
        <v>2</v>
      </c>
      <c r="I68" s="48">
        <v>0</v>
      </c>
      <c r="J68" s="48">
        <v>0</v>
      </c>
      <c r="K68" s="48">
        <v>0</v>
      </c>
      <c r="L68" s="48">
        <v>1477</v>
      </c>
      <c r="M68" s="49">
        <v>316</v>
      </c>
      <c r="O68" s="44">
        <v>61</v>
      </c>
      <c r="P68" s="43">
        <f t="shared" ca="1" si="1"/>
        <v>28</v>
      </c>
    </row>
    <row r="69" spans="4:16" x14ac:dyDescent="0.2">
      <c r="D69" s="50">
        <v>7</v>
      </c>
      <c r="E69" s="80">
        <f>VLOOKUP(D69,$F$8:M130,$D$5+2,0)</f>
        <v>1494</v>
      </c>
      <c r="F69" s="81">
        <v>62</v>
      </c>
      <c r="G69" s="82">
        <f t="shared" ca="1" si="2"/>
        <v>16</v>
      </c>
      <c r="H69" s="50">
        <v>2</v>
      </c>
      <c r="I69" s="51">
        <v>4</v>
      </c>
      <c r="J69" s="51">
        <v>9</v>
      </c>
      <c r="K69" s="51">
        <v>9</v>
      </c>
      <c r="L69" s="51">
        <v>3180</v>
      </c>
      <c r="M69" s="52">
        <v>940</v>
      </c>
      <c r="O69" s="45">
        <v>62</v>
      </c>
      <c r="P69" s="46">
        <f t="shared" ca="1" si="1"/>
        <v>16</v>
      </c>
    </row>
    <row r="70" spans="4:16" x14ac:dyDescent="0.2">
      <c r="H70" s="48"/>
      <c r="I70" s="48"/>
      <c r="J70" s="48"/>
      <c r="K70" s="48"/>
      <c r="L70" s="48"/>
      <c r="M70" s="48"/>
    </row>
    <row r="71" spans="4:16" x14ac:dyDescent="0.2">
      <c r="H71" s="315"/>
      <c r="I71" s="315"/>
      <c r="J71" s="315"/>
      <c r="K71" s="315"/>
      <c r="L71" s="315"/>
      <c r="M71" s="315"/>
    </row>
    <row r="72" spans="4:16" x14ac:dyDescent="0.2">
      <c r="H72" s="316"/>
      <c r="I72" s="316"/>
      <c r="J72" s="316"/>
      <c r="K72" s="316"/>
      <c r="L72" s="316"/>
      <c r="M72" s="316"/>
    </row>
  </sheetData>
  <mergeCells count="1">
    <mergeCell ref="H2:M2"/>
  </mergeCells>
  <phoneticPr fontId="10" type="noConversion"/>
  <pageMargins left="0.75" right="0.75" top="1" bottom="1" header="0.5" footer="0.5"/>
  <pageSetup paperSize="9" orientation="landscape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theme="9" tint="0.39997558519241921"/>
  </sheetPr>
  <dimension ref="C3:O64"/>
  <sheetViews>
    <sheetView showGridLines="0" topLeftCell="C40" workbookViewId="0">
      <selection activeCell="D18" sqref="D18"/>
    </sheetView>
  </sheetViews>
  <sheetFormatPr defaultColWidth="8.875" defaultRowHeight="12.75" x14ac:dyDescent="0.2"/>
  <cols>
    <col min="1" max="2" width="0" style="171" hidden="1" customWidth="1"/>
    <col min="3" max="16384" width="8.875" style="171"/>
  </cols>
  <sheetData>
    <row r="3" spans="3:15" x14ac:dyDescent="0.2">
      <c r="O3" s="171">
        <v>42</v>
      </c>
    </row>
    <row r="4" spans="3:15" x14ac:dyDescent="0.2">
      <c r="O4" s="171">
        <v>778</v>
      </c>
    </row>
    <row r="5" spans="3:15" x14ac:dyDescent="0.2">
      <c r="O5" s="171">
        <v>318</v>
      </c>
    </row>
    <row r="6" spans="3:15" x14ac:dyDescent="0.2">
      <c r="E6" s="171" t="s">
        <v>26</v>
      </c>
      <c r="H6" s="171" t="s">
        <v>27</v>
      </c>
      <c r="I6" s="171" t="s">
        <v>28</v>
      </c>
      <c r="J6" s="171" t="s">
        <v>29</v>
      </c>
      <c r="K6" s="171" t="s">
        <v>30</v>
      </c>
      <c r="O6" s="171">
        <v>383</v>
      </c>
    </row>
    <row r="7" spans="3:15" x14ac:dyDescent="0.2">
      <c r="C7" s="171">
        <v>0</v>
      </c>
      <c r="D7" s="171">
        <v>1</v>
      </c>
      <c r="E7" s="171" t="s">
        <v>31</v>
      </c>
      <c r="H7" s="171">
        <v>20</v>
      </c>
      <c r="I7" s="171">
        <v>0.32258064516129031</v>
      </c>
      <c r="J7" s="171">
        <v>1741</v>
      </c>
      <c r="K7" s="171">
        <v>6.408333410017393E-2</v>
      </c>
      <c r="M7" s="171">
        <v>80</v>
      </c>
      <c r="O7" s="171">
        <v>475</v>
      </c>
    </row>
    <row r="8" spans="3:15" x14ac:dyDescent="0.2">
      <c r="C8" s="171">
        <v>0</v>
      </c>
      <c r="D8" s="171">
        <v>87.05</v>
      </c>
      <c r="E8" s="171" t="s">
        <v>32</v>
      </c>
      <c r="H8" s="171">
        <v>2</v>
      </c>
      <c r="I8" s="171">
        <v>0.35483870967741937</v>
      </c>
      <c r="J8" s="171">
        <v>346.2</v>
      </c>
      <c r="K8" s="171">
        <v>7.6826384223942001E-2</v>
      </c>
      <c r="O8" s="171">
        <v>1076</v>
      </c>
    </row>
    <row r="9" spans="3:15" x14ac:dyDescent="0.2">
      <c r="C9" s="171">
        <v>0</v>
      </c>
      <c r="D9" s="171">
        <v>173.1</v>
      </c>
      <c r="E9" s="171" t="s">
        <v>33</v>
      </c>
      <c r="H9" s="171">
        <v>1</v>
      </c>
      <c r="I9" s="171">
        <v>0.37096774193548387</v>
      </c>
      <c r="J9" s="171">
        <v>259.14999999999998</v>
      </c>
      <c r="K9" s="171">
        <v>8.6365267642701374E-2</v>
      </c>
      <c r="O9" s="171">
        <v>98</v>
      </c>
    </row>
    <row r="10" spans="3:15" x14ac:dyDescent="0.2">
      <c r="C10" s="171">
        <v>0</v>
      </c>
      <c r="D10" s="171">
        <v>259.14999999999998</v>
      </c>
      <c r="E10" s="171" t="s">
        <v>34</v>
      </c>
      <c r="H10" s="171">
        <v>9</v>
      </c>
      <c r="I10" s="171">
        <v>0.5161290322580645</v>
      </c>
      <c r="J10" s="171">
        <v>3106.7999999999997</v>
      </c>
      <c r="K10" s="171">
        <v>0.20072144362341382</v>
      </c>
      <c r="O10" s="171">
        <v>40</v>
      </c>
    </row>
    <row r="11" spans="3:15" x14ac:dyDescent="0.2">
      <c r="C11" s="171">
        <v>0</v>
      </c>
      <c r="D11" s="171">
        <v>345.2</v>
      </c>
      <c r="E11" s="171" t="s">
        <v>35</v>
      </c>
      <c r="H11" s="171">
        <v>7</v>
      </c>
      <c r="I11" s="171">
        <v>0.62903225806451613</v>
      </c>
      <c r="J11" s="171">
        <v>3018.75</v>
      </c>
      <c r="K11" s="171">
        <v>0.3118366445509842</v>
      </c>
      <c r="O11" s="171">
        <v>551</v>
      </c>
    </row>
    <row r="12" spans="3:15" x14ac:dyDescent="0.2">
      <c r="C12" s="171">
        <v>0</v>
      </c>
      <c r="D12" s="171">
        <v>431.25</v>
      </c>
      <c r="E12" s="171" t="s">
        <v>36</v>
      </c>
      <c r="H12" s="171">
        <v>5</v>
      </c>
      <c r="I12" s="171">
        <v>0.70967741935483875</v>
      </c>
      <c r="J12" s="171">
        <v>2586.5</v>
      </c>
      <c r="K12" s="171">
        <v>0.40704143699791118</v>
      </c>
      <c r="O12" s="171">
        <v>376</v>
      </c>
    </row>
    <row r="13" spans="3:15" x14ac:dyDescent="0.2">
      <c r="C13" s="171">
        <v>0</v>
      </c>
      <c r="D13" s="171">
        <v>517.29999999999995</v>
      </c>
      <c r="E13" s="171" t="s">
        <v>37</v>
      </c>
      <c r="H13" s="171">
        <v>4</v>
      </c>
      <c r="I13" s="171">
        <v>0.77419354838709675</v>
      </c>
      <c r="J13" s="171">
        <v>2413.3999999999996</v>
      </c>
      <c r="K13" s="171">
        <v>0.49587470438295411</v>
      </c>
      <c r="O13" s="171">
        <v>402</v>
      </c>
    </row>
    <row r="14" spans="3:15" x14ac:dyDescent="0.2">
      <c r="C14" s="171">
        <v>0</v>
      </c>
      <c r="D14" s="171">
        <v>603.34999999999991</v>
      </c>
      <c r="E14" s="171" t="s">
        <v>38</v>
      </c>
      <c r="H14" s="171">
        <v>3</v>
      </c>
      <c r="I14" s="171">
        <v>0.82258064516129026</v>
      </c>
      <c r="J14" s="171">
        <v>2068.1999999999998</v>
      </c>
      <c r="K14" s="171">
        <v>0.57200172999236232</v>
      </c>
      <c r="O14" s="171">
        <v>470</v>
      </c>
    </row>
    <row r="15" spans="3:15" x14ac:dyDescent="0.2">
      <c r="C15" s="171">
        <v>0</v>
      </c>
      <c r="D15" s="171">
        <v>689.39999999999986</v>
      </c>
      <c r="E15" s="171" t="s">
        <v>39</v>
      </c>
      <c r="H15" s="171">
        <v>0</v>
      </c>
      <c r="I15" s="171">
        <v>0.82258064516129026</v>
      </c>
      <c r="J15" s="171">
        <v>0</v>
      </c>
      <c r="K15" s="171">
        <v>0.57200172999236232</v>
      </c>
      <c r="O15" s="171">
        <v>1044</v>
      </c>
    </row>
    <row r="16" spans="3:15" x14ac:dyDescent="0.2">
      <c r="C16" s="171">
        <v>0</v>
      </c>
      <c r="D16" s="171">
        <v>775.44999999999982</v>
      </c>
      <c r="E16" s="171" t="s">
        <v>40</v>
      </c>
      <c r="H16" s="171">
        <v>3</v>
      </c>
      <c r="I16" s="171">
        <v>0.87096774193548376</v>
      </c>
      <c r="J16" s="171">
        <v>2584.4999999999991</v>
      </c>
      <c r="K16" s="171">
        <v>0.66713290574302253</v>
      </c>
      <c r="O16" s="171">
        <v>43</v>
      </c>
    </row>
    <row r="17" spans="3:15" x14ac:dyDescent="0.2">
      <c r="C17" s="171">
        <v>0</v>
      </c>
      <c r="D17" s="171">
        <v>861.49999999999977</v>
      </c>
      <c r="E17" s="171" t="s">
        <v>41</v>
      </c>
      <c r="H17" s="171">
        <v>3</v>
      </c>
      <c r="I17" s="171">
        <v>0.91935483870967727</v>
      </c>
      <c r="J17" s="171">
        <v>2842.6499999999992</v>
      </c>
      <c r="K17" s="171">
        <v>0.7717661565643088</v>
      </c>
      <c r="O17" s="171">
        <v>48</v>
      </c>
    </row>
    <row r="18" spans="3:15" x14ac:dyDescent="0.2">
      <c r="C18" s="171">
        <v>0</v>
      </c>
      <c r="D18" s="171">
        <v>947.54999999999973</v>
      </c>
      <c r="E18" s="171" t="s">
        <v>42</v>
      </c>
      <c r="H18" s="171">
        <v>1</v>
      </c>
      <c r="I18" s="171">
        <v>0.93548387096774177</v>
      </c>
      <c r="J18" s="171">
        <v>1033.5999999999997</v>
      </c>
      <c r="K18" s="171">
        <v>0.80981126519494628</v>
      </c>
      <c r="O18" s="171">
        <v>538</v>
      </c>
    </row>
    <row r="19" spans="3:15" x14ac:dyDescent="0.2">
      <c r="C19" s="171">
        <v>0</v>
      </c>
      <c r="D19" s="171">
        <v>1033.5999999999997</v>
      </c>
      <c r="E19" s="171" t="s">
        <v>43</v>
      </c>
      <c r="H19" s="171">
        <v>2</v>
      </c>
      <c r="I19" s="171">
        <v>0.96774193548387077</v>
      </c>
      <c r="J19" s="171">
        <v>2239.2999999999993</v>
      </c>
      <c r="K19" s="171">
        <v>0.89223619916997177</v>
      </c>
      <c r="O19" s="171">
        <v>308</v>
      </c>
    </row>
    <row r="20" spans="3:15" x14ac:dyDescent="0.2">
      <c r="C20" s="171">
        <v>0</v>
      </c>
      <c r="D20" s="171">
        <v>1119.6499999999996</v>
      </c>
      <c r="E20" s="171" t="s">
        <v>44</v>
      </c>
      <c r="H20" s="171">
        <v>1</v>
      </c>
      <c r="I20" s="171">
        <v>0.98387096774193528</v>
      </c>
      <c r="J20" s="171">
        <v>1205.6999999999996</v>
      </c>
      <c r="K20" s="171">
        <v>0.93661602451435988</v>
      </c>
      <c r="O20" s="171">
        <v>382</v>
      </c>
    </row>
    <row r="21" spans="3:15" x14ac:dyDescent="0.2">
      <c r="C21" s="171">
        <v>0</v>
      </c>
      <c r="D21" s="171">
        <v>1205.6999999999996</v>
      </c>
      <c r="E21" s="171" t="s">
        <v>45</v>
      </c>
      <c r="H21" s="171">
        <v>0</v>
      </c>
      <c r="I21" s="171">
        <v>0.98387096774193528</v>
      </c>
      <c r="J21" s="171">
        <v>0</v>
      </c>
      <c r="K21" s="171">
        <v>0.93661602451435988</v>
      </c>
      <c r="O21" s="171">
        <v>83</v>
      </c>
    </row>
    <row r="22" spans="3:15" x14ac:dyDescent="0.2">
      <c r="C22" s="171">
        <v>0</v>
      </c>
      <c r="D22" s="171">
        <v>1291.7499999999995</v>
      </c>
      <c r="E22" s="171" t="s">
        <v>46</v>
      </c>
      <c r="H22" s="171">
        <v>0</v>
      </c>
      <c r="I22" s="171">
        <v>0.98387096774193528</v>
      </c>
      <c r="J22" s="171">
        <v>0</v>
      </c>
      <c r="K22" s="171">
        <v>0.93661602451435988</v>
      </c>
      <c r="O22" s="171">
        <v>1193</v>
      </c>
    </row>
    <row r="23" spans="3:15" x14ac:dyDescent="0.2">
      <c r="C23" s="171">
        <v>0</v>
      </c>
      <c r="D23" s="171">
        <v>1377.7999999999995</v>
      </c>
      <c r="E23" s="171" t="s">
        <v>47</v>
      </c>
      <c r="H23" s="171">
        <v>0</v>
      </c>
      <c r="I23" s="171">
        <v>0.98387096774193528</v>
      </c>
      <c r="J23" s="171">
        <v>0</v>
      </c>
      <c r="K23" s="171">
        <v>0.93661602451435988</v>
      </c>
      <c r="O23" s="171">
        <v>19</v>
      </c>
    </row>
    <row r="24" spans="3:15" x14ac:dyDescent="0.2">
      <c r="C24" s="171">
        <v>0</v>
      </c>
      <c r="D24" s="171">
        <v>1463.8499999999995</v>
      </c>
      <c r="E24" s="171" t="s">
        <v>48</v>
      </c>
      <c r="H24" s="171">
        <v>0</v>
      </c>
      <c r="I24" s="171">
        <v>0.98387096774193528</v>
      </c>
      <c r="J24" s="171">
        <v>0</v>
      </c>
      <c r="K24" s="171">
        <v>0.93661602451435988</v>
      </c>
      <c r="O24" s="171">
        <v>2</v>
      </c>
    </row>
    <row r="25" spans="3:15" x14ac:dyDescent="0.2">
      <c r="C25" s="171">
        <v>0</v>
      </c>
      <c r="D25" s="171">
        <v>1549.8999999999994</v>
      </c>
      <c r="E25" s="171" t="s">
        <v>49</v>
      </c>
      <c r="H25" s="171">
        <v>0</v>
      </c>
      <c r="I25" s="171">
        <v>0.98387096774193528</v>
      </c>
      <c r="J25" s="171">
        <v>0</v>
      </c>
      <c r="K25" s="171">
        <v>0.93661602451435988</v>
      </c>
      <c r="O25" s="171">
        <v>623</v>
      </c>
    </row>
    <row r="26" spans="3:15" x14ac:dyDescent="0.2">
      <c r="C26" s="171">
        <v>1</v>
      </c>
      <c r="D26" s="171">
        <v>1635.9499999999994</v>
      </c>
      <c r="E26" s="171" t="s">
        <v>50</v>
      </c>
      <c r="H26" s="171">
        <v>1</v>
      </c>
      <c r="I26" s="171">
        <v>0.99999999999999978</v>
      </c>
      <c r="J26" s="171">
        <v>1721.9999999999993</v>
      </c>
      <c r="K26" s="171">
        <v>1</v>
      </c>
      <c r="O26" s="171">
        <v>68</v>
      </c>
    </row>
    <row r="27" spans="3:15" x14ac:dyDescent="0.2">
      <c r="D27" s="171">
        <v>1721.9999999999993</v>
      </c>
      <c r="O27" s="171">
        <v>13</v>
      </c>
    </row>
    <row r="28" spans="3:15" x14ac:dyDescent="0.2">
      <c r="O28" s="171">
        <v>985</v>
      </c>
    </row>
    <row r="29" spans="3:15" x14ac:dyDescent="0.2">
      <c r="O29" s="171">
        <v>666</v>
      </c>
    </row>
    <row r="30" spans="3:15" x14ac:dyDescent="0.2">
      <c r="O30" s="171">
        <v>38</v>
      </c>
    </row>
    <row r="31" spans="3:15" x14ac:dyDescent="0.2">
      <c r="O31" s="171">
        <v>29</v>
      </c>
    </row>
    <row r="32" spans="3:15" x14ac:dyDescent="0.2">
      <c r="O32" s="171">
        <v>438</v>
      </c>
    </row>
    <row r="33" spans="15:15" x14ac:dyDescent="0.2">
      <c r="O33" s="171">
        <v>105</v>
      </c>
    </row>
    <row r="34" spans="15:15" x14ac:dyDescent="0.2">
      <c r="O34" s="171">
        <v>46</v>
      </c>
    </row>
    <row r="35" spans="15:15" x14ac:dyDescent="0.2">
      <c r="O35" s="171">
        <v>1722</v>
      </c>
    </row>
    <row r="36" spans="15:15" x14ac:dyDescent="0.2">
      <c r="O36" s="171">
        <v>929</v>
      </c>
    </row>
    <row r="37" spans="15:15" x14ac:dyDescent="0.2">
      <c r="O37" s="171">
        <v>14</v>
      </c>
    </row>
    <row r="38" spans="15:15" x14ac:dyDescent="0.2">
      <c r="O38" s="171">
        <v>21</v>
      </c>
    </row>
    <row r="39" spans="15:15" x14ac:dyDescent="0.2">
      <c r="O39" s="171">
        <v>664</v>
      </c>
    </row>
    <row r="40" spans="15:15" x14ac:dyDescent="0.2">
      <c r="O40" s="171">
        <v>520</v>
      </c>
    </row>
    <row r="41" spans="15:15" x14ac:dyDescent="0.2">
      <c r="O41" s="171">
        <v>400</v>
      </c>
    </row>
    <row r="42" spans="15:15" x14ac:dyDescent="0.2">
      <c r="O42" s="171">
        <v>328</v>
      </c>
    </row>
    <row r="43" spans="15:15" x14ac:dyDescent="0.2">
      <c r="O43" s="171">
        <v>928</v>
      </c>
    </row>
    <row r="44" spans="15:15" x14ac:dyDescent="0.2">
      <c r="O44" s="171">
        <v>37</v>
      </c>
    </row>
    <row r="45" spans="15:15" x14ac:dyDescent="0.2">
      <c r="O45" s="171">
        <v>84</v>
      </c>
    </row>
    <row r="46" spans="15:15" x14ac:dyDescent="0.2">
      <c r="O46" s="171">
        <v>302</v>
      </c>
    </row>
    <row r="47" spans="15:15" x14ac:dyDescent="0.2">
      <c r="O47" s="171">
        <v>311</v>
      </c>
    </row>
    <row r="48" spans="15:15" x14ac:dyDescent="0.2">
      <c r="O48" s="171">
        <v>509</v>
      </c>
    </row>
    <row r="49" spans="15:15" x14ac:dyDescent="0.2">
      <c r="O49" s="171">
        <v>388</v>
      </c>
    </row>
    <row r="50" spans="15:15" x14ac:dyDescent="0.2">
      <c r="O50" s="171">
        <v>859</v>
      </c>
    </row>
    <row r="51" spans="15:15" x14ac:dyDescent="0.2">
      <c r="O51" s="171">
        <v>27</v>
      </c>
    </row>
    <row r="52" spans="15:15" x14ac:dyDescent="0.2">
      <c r="O52" s="171">
        <v>1</v>
      </c>
    </row>
    <row r="53" spans="15:15" x14ac:dyDescent="0.2">
      <c r="O53" s="171">
        <v>492</v>
      </c>
    </row>
    <row r="54" spans="15:15" x14ac:dyDescent="0.2">
      <c r="O54" s="171">
        <v>277</v>
      </c>
    </row>
    <row r="55" spans="15:15" x14ac:dyDescent="0.2">
      <c r="O55" s="171">
        <v>282</v>
      </c>
    </row>
    <row r="56" spans="15:15" x14ac:dyDescent="0.2">
      <c r="O56" s="171">
        <v>243</v>
      </c>
    </row>
    <row r="57" spans="15:15" x14ac:dyDescent="0.2">
      <c r="O57" s="171">
        <v>855</v>
      </c>
    </row>
    <row r="58" spans="15:15" x14ac:dyDescent="0.2">
      <c r="O58" s="171">
        <v>3</v>
      </c>
    </row>
    <row r="59" spans="15:15" x14ac:dyDescent="0.2">
      <c r="O59" s="171">
        <v>5</v>
      </c>
    </row>
    <row r="60" spans="15:15" x14ac:dyDescent="0.2">
      <c r="O60" s="171">
        <v>533</v>
      </c>
    </row>
    <row r="61" spans="15:15" x14ac:dyDescent="0.2">
      <c r="O61" s="171">
        <v>383</v>
      </c>
    </row>
    <row r="62" spans="15:15" x14ac:dyDescent="0.2">
      <c r="O62" s="171">
        <v>326</v>
      </c>
    </row>
    <row r="63" spans="15:15" x14ac:dyDescent="0.2">
      <c r="O63" s="171">
        <v>316</v>
      </c>
    </row>
    <row r="64" spans="15:15" x14ac:dyDescent="0.2">
      <c r="O64" s="171">
        <v>940</v>
      </c>
    </row>
  </sheetData>
  <pageMargins left="0.511811024" right="0.511811024" top="0.78740157499999996" bottom="0.78740157499999996" header="0.31496062000000002" footer="0.31496062000000002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Premissas</vt:lpstr>
      <vt:lpstr>Planejamento</vt:lpstr>
      <vt:lpstr>Apoio Graf</vt:lpstr>
      <vt:lpstr>Produtos</vt:lpstr>
      <vt:lpstr>Intervalos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Machado</dc:creator>
  <cp:lastModifiedBy>Usuario</cp:lastModifiedBy>
  <cp:lastPrinted>2014-03-06T12:40:01Z</cp:lastPrinted>
  <dcterms:created xsi:type="dcterms:W3CDTF">2014-03-03T19:25:40Z</dcterms:created>
  <dcterms:modified xsi:type="dcterms:W3CDTF">2020-06-04T23:30:23Z</dcterms:modified>
</cp:coreProperties>
</file>